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20001_{032EE98F-038C-4A73-AB45-902FED4E4CBF}" xr6:coauthVersionLast="45" xr6:coauthVersionMax="45" xr10:uidLastSave="{00000000-0000-0000-0000-000000000000}"/>
  <bookViews>
    <workbookView xWindow="-120" yWindow="-120" windowWidth="20730" windowHeight="11160" tabRatio="693" activeTab="5" xr2:uid="{00000000-000D-0000-FFFF-FFFF00000000}"/>
  </bookViews>
  <sheets>
    <sheet name="Profil SMAN 1 SUMBER MARGA " sheetId="1" r:id="rId1"/>
    <sheet name="PTK" sheetId="2" r:id="rId2"/>
    <sheet name="Peserta Didik" sheetId="3" r:id="rId3"/>
    <sheet name="Rombongan Belajar" sheetId="4" r:id="rId4"/>
    <sheet name="Prasarana" sheetId="5" r:id="rId5"/>
    <sheet name="Sarana" sheetId="6" r:id="rId6"/>
  </sheets>
  <calcPr calcId="181029"/>
  <fileRecoveryPr repair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5" i="3" l="1"/>
  <c r="H15" i="3"/>
  <c r="J15" i="3" s="1"/>
  <c r="J14" i="3"/>
  <c r="J13" i="3"/>
  <c r="J12" i="3"/>
  <c r="J11" i="3"/>
  <c r="J10" i="3"/>
  <c r="J9" i="3"/>
  <c r="J8" i="3"/>
  <c r="A62" i="1"/>
  <c r="A65" i="1" s="1"/>
  <c r="A67" i="1" s="1"/>
  <c r="A51" i="1"/>
  <c r="A52" i="1" s="1"/>
  <c r="A54" i="1" s="1"/>
  <c r="A56" i="1" s="1"/>
  <c r="A57" i="1" s="1"/>
  <c r="A59" i="1" s="1"/>
  <c r="A49" i="1"/>
  <c r="A44" i="1"/>
  <c r="A45" i="1" s="1"/>
  <c r="A46" i="1" s="1"/>
  <c r="A43" i="1"/>
  <c r="A42" i="1"/>
  <c r="A41" i="1"/>
  <c r="A38" i="1"/>
  <c r="A37" i="1"/>
  <c r="A36" i="1"/>
  <c r="A5" i="1"/>
  <c r="A6" i="1" s="1"/>
  <c r="A7" i="1" s="1"/>
  <c r="A8" i="1" s="1"/>
  <c r="A16" i="1" s="1"/>
  <c r="A19" i="1" s="1"/>
  <c r="A20" i="1" s="1"/>
  <c r="A21" i="1" s="1"/>
  <c r="A22" i="1" s="1"/>
  <c r="A23" i="1" s="1"/>
  <c r="A24" i="1" s="1"/>
  <c r="A25" i="1" s="1"/>
  <c r="A26" i="1" s="1"/>
  <c r="A27" i="1" s="1"/>
  <c r="A28" i="1" s="1"/>
  <c r="A29" i="1" s="1"/>
  <c r="A30" i="1" s="1"/>
  <c r="A31" i="1" s="1"/>
</calcChain>
</file>

<file path=xl/sharedStrings.xml><?xml version="1.0" encoding="utf-8"?>
<sst xmlns="http://schemas.openxmlformats.org/spreadsheetml/2006/main" count="2349" uniqueCount="675">
  <si>
    <t>Profil Sekolah</t>
  </si>
  <si>
    <t>1. Identitas Sekolah</t>
  </si>
  <si>
    <t>Nama Sekolah</t>
  </si>
  <si>
    <t>:</t>
  </si>
  <si>
    <t>SMAN 1 SUMBER MARGA TELANG</t>
  </si>
  <si>
    <t>NPSN</t>
  </si>
  <si>
    <t>Jenjang Pendidikan</t>
  </si>
  <si>
    <t>SMA</t>
  </si>
  <si>
    <t>Status Sekolah</t>
  </si>
  <si>
    <t xml:space="preserve">: </t>
  </si>
  <si>
    <t>Negeri</t>
  </si>
  <si>
    <t>Alamat Sekolah</t>
  </si>
  <si>
    <t>Jalur 3</t>
  </si>
  <si>
    <t>RT / RW</t>
  </si>
  <si>
    <t>/</t>
  </si>
  <si>
    <t>Kode Pos</t>
  </si>
  <si>
    <t>Kelurahan</t>
  </si>
  <si>
    <t>Sumber Jaya</t>
  </si>
  <si>
    <t>Kecamatan</t>
  </si>
  <si>
    <t>Kec. Sumber Marga Telang</t>
  </si>
  <si>
    <t>Kabupaten/Kota</t>
  </si>
  <si>
    <t>Kab. Banyuasin</t>
  </si>
  <si>
    <t>Provinsi</t>
  </si>
  <si>
    <t>Prov. Sumatera Selatan</t>
  </si>
  <si>
    <t>Negara</t>
  </si>
  <si>
    <t>Indonesia</t>
  </si>
  <si>
    <t>Posisi Geografis</t>
  </si>
  <si>
    <t>Lintang</t>
  </si>
  <si>
    <t>Bujur</t>
  </si>
  <si>
    <t>3. Data Pelengkap</t>
  </si>
  <si>
    <t>SK Pendirian Sekolah</t>
  </si>
  <si>
    <t>NOMOR 89 TAHUN 2016.</t>
  </si>
  <si>
    <t>Tanggal SK Pendirian</t>
  </si>
  <si>
    <t>2016-06-27</t>
  </si>
  <si>
    <t>Status Kepemilikan</t>
  </si>
  <si>
    <t>Pemerintah Daerah</t>
  </si>
  <si>
    <t>SK Izin Operasional</t>
  </si>
  <si>
    <t>NOMOR 89 TAHUN 2016</t>
  </si>
  <si>
    <t>Tgl SK Izin Operasional</t>
  </si>
  <si>
    <t>Kebutuhan Khusus Dilayani</t>
  </si>
  <si>
    <t>Nomor Rekening</t>
  </si>
  <si>
    <t>Nama Bank</t>
  </si>
  <si>
    <t>SUMSEL BABEL</t>
  </si>
  <si>
    <t>Cabang KCP/Unit</t>
  </si>
  <si>
    <t>PEMBANTU PLAJU</t>
  </si>
  <si>
    <t>Rekening Atas Nama</t>
  </si>
  <si>
    <t>MBS</t>
  </si>
  <si>
    <t>Ya</t>
  </si>
  <si>
    <t>Memungut Iuran</t>
  </si>
  <si>
    <t>Tidak</t>
  </si>
  <si>
    <t>Nominal/siswa</t>
  </si>
  <si>
    <t>Nama Wajib Pajak</t>
  </si>
  <si>
    <t>NPWP</t>
  </si>
  <si>
    <t>802655563314000</t>
  </si>
  <si>
    <t>3. Kontak Sekolah</t>
  </si>
  <si>
    <t>Nomor Telepon</t>
  </si>
  <si>
    <t>08127821589</t>
  </si>
  <si>
    <t>Nomor Fax</t>
  </si>
  <si>
    <t>Email</t>
  </si>
  <si>
    <t>sman1smt@gmail.com</t>
  </si>
  <si>
    <t>Website</t>
  </si>
  <si>
    <t>http://www.sman1smt.sch.id</t>
  </si>
  <si>
    <t>4. Data Periodik</t>
  </si>
  <si>
    <t>Waktu Penyelenggaraan</t>
  </si>
  <si>
    <t>Pagi/6 hari</t>
  </si>
  <si>
    <t>Bersedia Menerima Bos?</t>
  </si>
  <si>
    <t>Sertifikasi ISO</t>
  </si>
  <si>
    <t>Belum Bersertifikat</t>
  </si>
  <si>
    <t>Sumber Listrik</t>
  </si>
  <si>
    <t>PLN</t>
  </si>
  <si>
    <t>Daya Listrik (watt)</t>
  </si>
  <si>
    <t>Akses Internet</t>
  </si>
  <si>
    <t>Telkomsel Flash</t>
  </si>
  <si>
    <t>Akses Internet Alternatif</t>
  </si>
  <si>
    <t>Indosat IM3</t>
  </si>
  <si>
    <t>5. Sanitasi</t>
  </si>
  <si>
    <t>Kecukupan Air</t>
  </si>
  <si>
    <t>Cukup</t>
  </si>
  <si>
    <t>Sekolah Memproses Air</t>
  </si>
  <si>
    <t>Sendiri</t>
  </si>
  <si>
    <t>Air Minum Untuk Siswa</t>
  </si>
  <si>
    <t>Tidak Disediakan</t>
  </si>
  <si>
    <t>Mayoritas Siswa Membawa</t>
  </si>
  <si>
    <t>Air Minum</t>
  </si>
  <si>
    <t>Jumlah Toilet Berkebutuhan</t>
  </si>
  <si>
    <t>Khusus</t>
  </si>
  <si>
    <t>Sumber Air Sanitasi</t>
  </si>
  <si>
    <t>Lainnya</t>
  </si>
  <si>
    <t>Ketersediaan Air di</t>
  </si>
  <si>
    <t>Ada Sumber Air</t>
  </si>
  <si>
    <t>Lingkungan Sekolah</t>
  </si>
  <si>
    <t>Tipe Jamban</t>
  </si>
  <si>
    <t>Leher angsa (toilet duduk/jongkok)</t>
  </si>
  <si>
    <t>Jumlah Tempat Cuci</t>
  </si>
  <si>
    <t>Tangan</t>
  </si>
  <si>
    <t>Apakah Sabun dan Air</t>
  </si>
  <si>
    <t>Mengalir pada Tempat Cuci</t>
  </si>
  <si>
    <t>Jumlah Jamban Dapat</t>
  </si>
  <si>
    <t>Laki-laki</t>
  </si>
  <si>
    <t>Perempuan</t>
  </si>
  <si>
    <t>Bersama</t>
  </si>
  <si>
    <t>Digunakan</t>
  </si>
  <si>
    <t>Jumlah Jamban Tidak Dapat</t>
  </si>
  <si>
    <t>Daftar Pendidik dan Tenaga Kependidikan</t>
  </si>
  <si>
    <t>Kecamatan Kec. Sumber Marga Telang, Kabupaten Kab. Banyuasin, Provinsi Prov. Sumatera Selatan</t>
  </si>
  <si>
    <t>Tanggal Unduh: 2020-04-03 14:33:24</t>
  </si>
  <si>
    <t>Pengunduh: Samsul Bari (juwitadapodik@gmail.com)</t>
  </si>
  <si>
    <t>No</t>
  </si>
  <si>
    <t>Nama</t>
  </si>
  <si>
    <t>NUPTK</t>
  </si>
  <si>
    <t>JK</t>
  </si>
  <si>
    <t>Tempat Lahir</t>
  </si>
  <si>
    <t>Tanggal Lahir</t>
  </si>
  <si>
    <t>NIP</t>
  </si>
  <si>
    <t>Status Kepegawaian</t>
  </si>
  <si>
    <t>Jenis PTK</t>
  </si>
  <si>
    <t>Keterangan</t>
  </si>
  <si>
    <t>Gelar Depan</t>
  </si>
  <si>
    <t>Gelar Belakang</t>
  </si>
  <si>
    <t>Jenjang</t>
  </si>
  <si>
    <t>Jurusan/Prodi</t>
  </si>
  <si>
    <t>Sertifikasi</t>
  </si>
  <si>
    <t>TMT Kerja</t>
  </si>
  <si>
    <t>Tugas Tambahan</t>
  </si>
  <si>
    <t>Mengajar</t>
  </si>
  <si>
    <t>Jam Tugas 
Tambahan</t>
  </si>
  <si>
    <t>JJM</t>
  </si>
  <si>
    <t>Total JJM</t>
  </si>
  <si>
    <t>Siswa</t>
  </si>
  <si>
    <t>Kompetensi</t>
  </si>
  <si>
    <t>Agus Guntur Saputra</t>
  </si>
  <si>
    <t>8140766667130193</t>
  </si>
  <si>
    <t>L</t>
  </si>
  <si>
    <t>SUMBER JAYA</t>
  </si>
  <si>
    <t>1988-08-08</t>
  </si>
  <si>
    <t>Guru Honor Sekolah</t>
  </si>
  <si>
    <t>Guru Mapel</t>
  </si>
  <si>
    <t>S2</t>
  </si>
  <si>
    <t>Manajemen Pendidikan</t>
  </si>
  <si>
    <t>2018-07-01</t>
  </si>
  <si>
    <t>Guru Piket</t>
  </si>
  <si>
    <t>Prakarya dan Kewirausahaan, Geografi, Muatan Lokal Potensi Daerah</t>
  </si>
  <si>
    <t>Geografi</t>
  </si>
  <si>
    <t>Ahmad Junaidi</t>
  </si>
  <si>
    <t>5539759660130123</t>
  </si>
  <si>
    <t>MARGA RAHAYU</t>
  </si>
  <si>
    <t>1981-12-07</t>
  </si>
  <si>
    <t>Pendidikan Umum</t>
  </si>
  <si>
    <t>Pendidikan Agama Islam dan Budi Pekerti, Pendidikan Agama Islam, Bahasa Arab, LM - Bahasa Arab</t>
  </si>
  <si>
    <t>Aziz Witono</t>
  </si>
  <si>
    <t>1052769671130113</t>
  </si>
  <si>
    <t>Sumber Mulya</t>
  </si>
  <si>
    <t>1991-07-20</t>
  </si>
  <si>
    <t>S1</t>
  </si>
  <si>
    <t>Pendidikan Jasmani dan Kesehatan</t>
  </si>
  <si>
    <t>Guru Piket, Pembina Ekstrakurikuler</t>
  </si>
  <si>
    <t>Pendidikan Jasmani, Olahraga, dan Kesehatan</t>
  </si>
  <si>
    <t>Fatmi Andi Rizki Pratami</t>
  </si>
  <si>
    <t>9547772673130002</t>
  </si>
  <si>
    <t>P</t>
  </si>
  <si>
    <t>PALEMBANG</t>
  </si>
  <si>
    <t>1994-02-15</t>
  </si>
  <si>
    <t>Prakarya dan Kewirausahaan, Geografi, LM - Geografi</t>
  </si>
  <si>
    <t>Herdawati</t>
  </si>
  <si>
    <t>4458766667130082</t>
  </si>
  <si>
    <t>1988-01-26</t>
  </si>
  <si>
    <t>Fisika</t>
  </si>
  <si>
    <t>Koordinator Laboratorium, Pembina Pramuka Putri, Guru Piket, Pembina OSIS</t>
  </si>
  <si>
    <t>Herpian</t>
  </si>
  <si>
    <t>8340771672130013</t>
  </si>
  <si>
    <t>1993-10-08</t>
  </si>
  <si>
    <t>Bahasa Indonesia</t>
  </si>
  <si>
    <t>Bahasa Indonesia, Seni Budaya</t>
  </si>
  <si>
    <t>Juwita Marseh</t>
  </si>
  <si>
    <t>2745770671130042</t>
  </si>
  <si>
    <t>1992-04-13</t>
  </si>
  <si>
    <t>Teknologi Informasi dan Komunikasi (TIK)</t>
  </si>
  <si>
    <t>Teknologi Informasi dan Komunikasi</t>
  </si>
  <si>
    <t>Listari Werdaningsih</t>
  </si>
  <si>
    <t>5544771672130013</t>
  </si>
  <si>
    <t>BLORA</t>
  </si>
  <si>
    <t>1993-12-12</t>
  </si>
  <si>
    <t>Guru BK</t>
  </si>
  <si>
    <t>Psikologi</t>
  </si>
  <si>
    <t>Guru Piket, Kepala Perpustakaan</t>
  </si>
  <si>
    <t>Bimbingan dan Konseling/Konselor (BP/BK)</t>
  </si>
  <si>
    <t>46 siswa</t>
  </si>
  <si>
    <t>Bimbingan dan Konseling (Konselor)</t>
  </si>
  <si>
    <t>Nur Endah Komalasari</t>
  </si>
  <si>
    <t>0256770671130033</t>
  </si>
  <si>
    <t>SUMBER MULYA</t>
  </si>
  <si>
    <t>1992-09-24</t>
  </si>
  <si>
    <t>Matematika</t>
  </si>
  <si>
    <t>Matematika (Umum), Matematika (Peminatan)</t>
  </si>
  <si>
    <t>Rahmad Aminun</t>
  </si>
  <si>
    <t>Marga Rahayu</t>
  </si>
  <si>
    <t>1993-02-12</t>
  </si>
  <si>
    <t>GTY/PTY</t>
  </si>
  <si>
    <t>Seni Budaya</t>
  </si>
  <si>
    <t>2015-07-21</t>
  </si>
  <si>
    <t>Rowati</t>
  </si>
  <si>
    <t>2855766667130122</t>
  </si>
  <si>
    <t>SUKA MERINDU</t>
  </si>
  <si>
    <t>1988-05-23</t>
  </si>
  <si>
    <t>Sejarah</t>
  </si>
  <si>
    <t>Sejarah Indonesia, Sejarah</t>
  </si>
  <si>
    <t>Samsul Bari</t>
  </si>
  <si>
    <t>7756766667130192</t>
  </si>
  <si>
    <t>1988-04-24</t>
  </si>
  <si>
    <t>Tenaga Honor Sekolah</t>
  </si>
  <si>
    <t>Tenaga Administrasi Sekolah</t>
  </si>
  <si>
    <t>D3</t>
  </si>
  <si>
    <t>Manajemen Informatika dan Komputer</t>
  </si>
  <si>
    <t>Kepala Laboratorium</t>
  </si>
  <si>
    <t>Sugeng Waluyo</t>
  </si>
  <si>
    <t>Palembang</t>
  </si>
  <si>
    <t>1989-05-14</t>
  </si>
  <si>
    <t>Tukang Kebun</t>
  </si>
  <si>
    <t>SMA / sederajat</t>
  </si>
  <si>
    <t>Teknik Mekanik Otomotif</t>
  </si>
  <si>
    <t>Sultan Hasanudin</t>
  </si>
  <si>
    <t>6637763665200002</t>
  </si>
  <si>
    <t>SEI KERUPUK</t>
  </si>
  <si>
    <t>1985-03-11</t>
  </si>
  <si>
    <t>Honor Daerah TK.I Provinsi</t>
  </si>
  <si>
    <t>Ekonomi</t>
  </si>
  <si>
    <t>2012-06-29</t>
  </si>
  <si>
    <t>Bendahara BOS, Wakil Kepala Sekolah Kurikulum</t>
  </si>
  <si>
    <t>Pendidikan Pancasila dan Kewarganegaraan, Pendidikan Kewarganegaraan, Ekonomi, LM - Ekonomi</t>
  </si>
  <si>
    <t>Suprianto</t>
  </si>
  <si>
    <t>2657766667130102</t>
  </si>
  <si>
    <t>1988-03-25</t>
  </si>
  <si>
    <t>Bahasa Inggris</t>
  </si>
  <si>
    <t>Syaikhu Marsodi Prayoto</t>
  </si>
  <si>
    <t>9136740641200013</t>
  </si>
  <si>
    <t>TEGAL-SLAWI</t>
  </si>
  <si>
    <t>1962-08-04</t>
  </si>
  <si>
    <t>196208041982021002</t>
  </si>
  <si>
    <t>PNS</t>
  </si>
  <si>
    <t>Kepala Sekolah</t>
  </si>
  <si>
    <t>Pendidikan Sejarah</t>
  </si>
  <si>
    <t>1984-01-01</t>
  </si>
  <si>
    <t>Trisna Suriningsih</t>
  </si>
  <si>
    <t>1646768669130072</t>
  </si>
  <si>
    <t>1990-03-14</t>
  </si>
  <si>
    <t>Kimia</t>
  </si>
  <si>
    <t>Tuminah</t>
  </si>
  <si>
    <t>1544765666130163</t>
  </si>
  <si>
    <t>SALEH MULYA</t>
  </si>
  <si>
    <t>1987-12-12</t>
  </si>
  <si>
    <t>Sosiologi</t>
  </si>
  <si>
    <t>Wida Ningsih</t>
  </si>
  <si>
    <t>2455768669130072</t>
  </si>
  <si>
    <t>PURWAKARTA</t>
  </si>
  <si>
    <t>1990-01-23</t>
  </si>
  <si>
    <t>Biologi</t>
  </si>
  <si>
    <t>Guru Piket, Kepala Laboratorium</t>
  </si>
  <si>
    <t>Peserta Didik</t>
  </si>
  <si>
    <t>1. Jumlah Peserta Didik Berdasarkan Jenis Kelamin</t>
  </si>
  <si>
    <t>4. Jumlah Siswa Berdasarkan Penghasilan Orang Tua/Wali</t>
  </si>
  <si>
    <t>5. Jumlah Siswa Berdasarkan Tingkat Pendidikan</t>
  </si>
  <si>
    <t>Total</t>
  </si>
  <si>
    <t>Penghasilan</t>
  </si>
  <si>
    <t>Tingkat Pendidikan</t>
  </si>
  <si>
    <t>Tidak di isi</t>
  </si>
  <si>
    <t>Tingkat 11</t>
  </si>
  <si>
    <t>Kurang dari Rp. 500,000</t>
  </si>
  <si>
    <t>Tingkat 12</t>
  </si>
  <si>
    <t>2. Jumlah peserta Didik Berdasarkan Usia</t>
  </si>
  <si>
    <t>Rp. 500,000 - Rp. 999,999</t>
  </si>
  <si>
    <t>Tingkat 10</t>
  </si>
  <si>
    <t>Usia</t>
  </si>
  <si>
    <t>Rp. 1,000,000 - Rp. 1,999,999</t>
  </si>
  <si>
    <t>&lt; 6 tahun</t>
  </si>
  <si>
    <t>Rp. 2,000,000 - Rp. 4,999,999</t>
  </si>
  <si>
    <t>6 - 12 tahun</t>
  </si>
  <si>
    <t>Rp. 5,000,000 - Rp. 20,000,000</t>
  </si>
  <si>
    <t>13 - 15 tahun</t>
  </si>
  <si>
    <t>Lebih dari Rp. 20,000,000</t>
  </si>
  <si>
    <t>16 - 20 tahun</t>
  </si>
  <si>
    <t>&gt; 20 tahun</t>
  </si>
  <si>
    <t>3. Jumlah Siswa Berdasarkan Agama</t>
  </si>
  <si>
    <t>Agama</t>
  </si>
  <si>
    <t>Islam</t>
  </si>
  <si>
    <t>Kristen</t>
  </si>
  <si>
    <t>Katholik</t>
  </si>
  <si>
    <t>Hindu</t>
  </si>
  <si>
    <t>Budha</t>
  </si>
  <si>
    <t>Konghucu</t>
  </si>
  <si>
    <t>Rombongan Belajar</t>
  </si>
  <si>
    <t>Nama Rombel</t>
  </si>
  <si>
    <t>Tingkat Kelas</t>
  </si>
  <si>
    <t>Jumlah Siswa</t>
  </si>
  <si>
    <t>Wali Kelas</t>
  </si>
  <si>
    <t>Kurikulum</t>
  </si>
  <si>
    <t>Ruangan</t>
  </si>
  <si>
    <t>X MIPA</t>
  </si>
  <si>
    <t>Kurikulum SMA 2013 MIPA</t>
  </si>
  <si>
    <t>Kelas X.1</t>
  </si>
  <si>
    <t>XI IIS</t>
  </si>
  <si>
    <t>Kurikulum SMA 2013 IPS</t>
  </si>
  <si>
    <t>Kelas XI.2</t>
  </si>
  <si>
    <t>XI MIPA</t>
  </si>
  <si>
    <t>Kelas XI.1</t>
  </si>
  <si>
    <t>XII IPA</t>
  </si>
  <si>
    <t>SMA KTSP IPA</t>
  </si>
  <si>
    <t>Kelas XII.1</t>
  </si>
  <si>
    <t>XII IPS</t>
  </si>
  <si>
    <t>SMA KTSP IPS</t>
  </si>
  <si>
    <t>Kelas XII.2</t>
  </si>
  <si>
    <t>Prasarana</t>
  </si>
  <si>
    <t>Nama Prasarana</t>
  </si>
  <si>
    <t xml:space="preserve">Keterangan </t>
  </si>
  <si>
    <t>Panjang</t>
  </si>
  <si>
    <t>Lebar</t>
  </si>
  <si>
    <t>Kondisi Kerusakan Prasarana (%)</t>
  </si>
  <si>
    <t>Persentase Tingkat
Kerusakan (%)</t>
  </si>
  <si>
    <t>Status
Kepemilikan</t>
  </si>
  <si>
    <t>Pondasi</t>
  </si>
  <si>
    <t>Sloop, Kolom, Balok</t>
  </si>
  <si>
    <t>Plester Struktur</t>
  </si>
  <si>
    <t>Kuda-kuda Atap</t>
  </si>
  <si>
    <t>Kaso Atap</t>
  </si>
  <si>
    <t>Reng Atap</t>
  </si>
  <si>
    <t>Penutup atap/lisplang/talang</t>
  </si>
  <si>
    <t>Rangka Plafon</t>
  </si>
  <si>
    <t>Tutup Plafon</t>
  </si>
  <si>
    <t>Bata Dinding</t>
  </si>
  <si>
    <t>Plester Dinding</t>
  </si>
  <si>
    <t>Daun Jendela</t>
  </si>
  <si>
    <t>Daun Pintu</t>
  </si>
  <si>
    <t>Kusen</t>
  </si>
  <si>
    <t>Tutup Lantai</t>
  </si>
  <si>
    <t>Instalasi Listrik</t>
  </si>
  <si>
    <t>Instalasi Air</t>
  </si>
  <si>
    <t>Drainase</t>
  </si>
  <si>
    <t>Finishing Struktur</t>
  </si>
  <si>
    <t>Finishing Plafon</t>
  </si>
  <si>
    <t>Finishing Dinding</t>
  </si>
  <si>
    <t>Finishing Kusen, Pintu. Jendela</t>
  </si>
  <si>
    <t>KM/WC Guru Laki-Laki</t>
  </si>
  <si>
    <t>KM/WC Guru Perempuan</t>
  </si>
  <si>
    <t>KM/WC Ruang Kepala Sekolah</t>
  </si>
  <si>
    <t>KM/WC Siswa Laki-laki</t>
  </si>
  <si>
    <t>KM/WC Siswa Laki-Laki</t>
  </si>
  <si>
    <t>KM/WC Siswa Perempuan</t>
  </si>
  <si>
    <t>KM/WC Tata Usaha</t>
  </si>
  <si>
    <t>Laboratorium Biologi</t>
  </si>
  <si>
    <t>Laboratorium Fisika</t>
  </si>
  <si>
    <t>Laboratorium Komputer</t>
  </si>
  <si>
    <t>Lahan Kosong</t>
  </si>
  <si>
    <t>Lapangan Voli</t>
  </si>
  <si>
    <t>Perpustakaan</t>
  </si>
  <si>
    <t>1607081E1000001</t>
  </si>
  <si>
    <t>Ruang Guru</t>
  </si>
  <si>
    <t>Ruang Kepala Sekolah</t>
  </si>
  <si>
    <t>Ruang Tenaga Administrasi</t>
  </si>
  <si>
    <t>Ruang UKS</t>
  </si>
  <si>
    <t>Sarana</t>
  </si>
  <si>
    <t>Jenis Sarana</t>
  </si>
  <si>
    <t>Letak</t>
  </si>
  <si>
    <t>Kepemilikan</t>
  </si>
  <si>
    <t>Spesifikasi</t>
  </si>
  <si>
    <t>Jumlah</t>
  </si>
  <si>
    <t>Status</t>
  </si>
  <si>
    <t>Meja Siswa</t>
  </si>
  <si>
    <t>Milik</t>
  </si>
  <si>
    <t>Meja Siswa terbuat dari kayu, dan terdapat laci terbuka untuk meletakan tas</t>
  </si>
  <si>
    <t>Laik</t>
  </si>
  <si>
    <t>Kursi Siswa</t>
  </si>
  <si>
    <t>Kursi Siswa terbuat dari kayu</t>
  </si>
  <si>
    <t>Meja Guru</t>
  </si>
  <si>
    <t>Meja Guru terbuat dari kayu dan terdapat laci yang dapat dikunci</t>
  </si>
  <si>
    <t>Kursi Guru</t>
  </si>
  <si>
    <t>Kursi Guru terbuat dari kayu, alas duduk menggunakan busa</t>
  </si>
  <si>
    <t>Papan Tulis</t>
  </si>
  <si>
    <t>Papan Tulis White Board</t>
  </si>
  <si>
    <t>Lemari</t>
  </si>
  <si>
    <t>Lemari berbahan kayu</t>
  </si>
  <si>
    <t>Rak hasil karya peserta didik</t>
  </si>
  <si>
    <t>Terbuat dari kayu</t>
  </si>
  <si>
    <t>Tempat Sampah</t>
  </si>
  <si>
    <t>Tempat Sampah berbahan plastik</t>
  </si>
  <si>
    <t>Tempat cuci tangan</t>
  </si>
  <si>
    <t>Tempat cuci tangan berbahan Plastik/Ember</t>
  </si>
  <si>
    <t>Jam Dinding</t>
  </si>
  <si>
    <t>Jam Dinding berbahan plastik</t>
  </si>
  <si>
    <t>Kotak kontak</t>
  </si>
  <si>
    <t>Kotak Kontak terdiri dari Stop Kontak dan Sakelar bermerek Panasonic</t>
  </si>
  <si>
    <t>Simbol Kenegaraan</t>
  </si>
  <si>
    <t>Simbol Kenegaraan terdiri dari, Foto Bingkai Garuda, Presiden dan Wakil Presiden</t>
  </si>
  <si>
    <t>Alat Peraga</t>
  </si>
  <si>
    <t>Lampu</t>
  </si>
  <si>
    <t>Lampu SL 18 Watt</t>
  </si>
  <si>
    <t>Saklar</t>
  </si>
  <si>
    <t>Saklar Ganda 220 Volt</t>
  </si>
  <si>
    <t>Stop kontak</t>
  </si>
  <si>
    <t>Stop Kontak 220 Volt</t>
  </si>
  <si>
    <t>Papan Pajang</t>
  </si>
  <si>
    <t>Papan Panjang terbuat dari playwood/triplek</t>
  </si>
  <si>
    <t>Soket Listrik</t>
  </si>
  <si>
    <t>Merek Panasonic</t>
  </si>
  <si>
    <t>Soket Listrik/Kotak Kontak</t>
  </si>
  <si>
    <t>Meja TU</t>
  </si>
  <si>
    <t>Terbuat dari bahan kayu</t>
  </si>
  <si>
    <t>Kursi TU</t>
  </si>
  <si>
    <t>Kursi terbuat dari bahan kayu</t>
  </si>
  <si>
    <t>Konstruksi: Menggunakan sambungan lubang dan pen yg diperkuat dengan pasak dan lem kayu. Bahan: Rangka dari kayu kelas II dan rak penutup playwood 15mm, bagian tepi menggunakan vinir jati. Penyelesaian: Dicat atau politur dgn warna yg serasi.</t>
  </si>
  <si>
    <t>Komputer</t>
  </si>
  <si>
    <t>Bertipe Laptop dengan Merek ASUS X540Y</t>
  </si>
  <si>
    <t>Printer</t>
  </si>
  <si>
    <t>Printer bermerek Canoon Pixma MP 280</t>
  </si>
  <si>
    <t>Tempat Sampah Plastik</t>
  </si>
  <si>
    <t>Jam Dinding plastik</t>
  </si>
  <si>
    <t>Kotak Kontak terdiri dari 1 buah stok kontak, 1 buah saklar tunggal, 1 soket listrik Merek Panasonic</t>
  </si>
  <si>
    <t>Kursi Kerja</t>
  </si>
  <si>
    <t>Papan pengumuman</t>
  </si>
  <si>
    <t>Papan Pengumuman dai bahan playwood</t>
  </si>
  <si>
    <t>Kursi dan Meja Tamu</t>
  </si>
  <si>
    <t>Kursi dan Meja Tamu terbuat dari bahan kayu sebanyak 1 set</t>
  </si>
  <si>
    <t>Simbol Kenegaraan terdiri dari, Foto Bingkai Garuda, Presiden dan Wakil Presiden serta Bingkai foto Gubernur dan Wakil Gubernur Sumatera Selatan</t>
  </si>
  <si>
    <t>Penanda Waktu (Bell Sekolah)</t>
  </si>
  <si>
    <t>1 Set Bell Elektronik dan 1 Buah Lonceng Besi</t>
  </si>
  <si>
    <t>Dispenser</t>
  </si>
  <si>
    <t>Dispenser air hangat dan dingin</t>
  </si>
  <si>
    <t>Kipas angin</t>
  </si>
  <si>
    <t>Kipas angin berdiri merek Maspion</t>
  </si>
  <si>
    <t>Kompor gas</t>
  </si>
  <si>
    <t>Kompor Gas 1 Tungku</t>
  </si>
  <si>
    <t>Lampu SL</t>
  </si>
  <si>
    <t>Mesin Rumput</t>
  </si>
  <si>
    <t>Mesin pemotong rumput merek Tasco</t>
  </si>
  <si>
    <t>Epson L120</t>
  </si>
  <si>
    <t>Saklar Tunggal 220 Volt Merek Panasonic</t>
  </si>
  <si>
    <t>Tabung gas besar + regulator</t>
  </si>
  <si>
    <t>Tabung Gas 3Kg + Regulator dan Selang</t>
  </si>
  <si>
    <t>Alat Pemotong Kertas Manual</t>
  </si>
  <si>
    <t>Alat pemotong kertas manual berbahan besi</t>
  </si>
  <si>
    <t>Laptop</t>
  </si>
  <si>
    <t>Asus 14 Inch. Ram 2 Gb.</t>
  </si>
  <si>
    <t>Papan Statistik</t>
  </si>
  <si>
    <t>Terbuat dari papan triplek/playwood</t>
  </si>
  <si>
    <t>Soket Listrik portabel</t>
  </si>
  <si>
    <t>Kotak Kontak lisrik terdiri dari Stop Kontak dengan panjang kabel +/- 8 m</t>
  </si>
  <si>
    <t>Kotak kontak terdiri dari 1 buah Saklar Tunggal 220 Volt</t>
  </si>
  <si>
    <t>Kloset Jongkok</t>
  </si>
  <si>
    <t>Kloset Leher Angsa</t>
  </si>
  <si>
    <t>Tempat Air (Bak)</t>
  </si>
  <si>
    <t>Tempat Air/Bak Plastik bertutup untuk air bersih</t>
  </si>
  <si>
    <t>Gayung</t>
  </si>
  <si>
    <t>Gayung Plastik</t>
  </si>
  <si>
    <t>Gantungan Pakaian</t>
  </si>
  <si>
    <t>Gantungan Pakaian berbahan besi yang dilapisi anti karat</t>
  </si>
  <si>
    <t>Gayung (Small Bucket)</t>
  </si>
  <si>
    <t>Gayung Air berbahan plastik</t>
  </si>
  <si>
    <t>Saklar Tungal 220 Volt Merek Panasonic</t>
  </si>
  <si>
    <t>Gayung Air</t>
  </si>
  <si>
    <t>Tempat Air</t>
  </si>
  <si>
    <t>Ember Plastik</t>
  </si>
  <si>
    <t>Kotak kontak terdiri dari 1 buah saklar tunggal 220 volt</t>
  </si>
  <si>
    <t>Terbuat dari bahan standar kloset kualitas baik</t>
  </si>
  <si>
    <t>Terbuat dari bahan plastik standar tempat air/bak kamar mandi/wc kualitas baik</t>
  </si>
  <si>
    <t>Berhan plastik</t>
  </si>
  <si>
    <t>Berbahan Steinlis steel</t>
  </si>
  <si>
    <t>Saklar Tunggal 220 volt Merek Panasonic</t>
  </si>
  <si>
    <t>Lampu 20 Watt</t>
  </si>
  <si>
    <t>Lampu SL 20 Watt</t>
  </si>
  <si>
    <t>Berbahan Plastik/Tempat Sampah Plastik</t>
  </si>
  <si>
    <t>Kotak kontak terdiri dari 1 buah saklar tunggal</t>
  </si>
  <si>
    <t>Kloset Leher Angsa Kualitias Baik</t>
  </si>
  <si>
    <t>Tempat Air (Bak) berbaha plastik Tebal</t>
  </si>
  <si>
    <t>Berbahan plastik/Gayung Plastik</t>
  </si>
  <si>
    <t>Berbahan steinlis steel</t>
  </si>
  <si>
    <t>Lampu SL 20 watt</t>
  </si>
  <si>
    <t>Saklar Tunggal 220 volt</t>
  </si>
  <si>
    <t>Lemari Pintu Kaca: Bahan: terbuat dari kayu kelas II, Kontruksi: Menggunakan sambungan lubang dan pen, Finishing: Menggunakan cat atau politur</t>
  </si>
  <si>
    <t>Tempat sampah berbahan plastik</t>
  </si>
  <si>
    <t>Kotak Kontak terdiri dari Panel MCB 1 buah, Stop Kontak 10 buah, Saklar Ganda 1 buah dan Saklar Tunggal 1 buah</t>
  </si>
  <si>
    <t>Rak Buku</t>
  </si>
  <si>
    <t>Kontruksi: Menggunakan sambungan lubang dan pen, diperkuat dengan pasak dan lem kayu. Bahan: Rangka dari kayu kls II dengan dinding dan rak penutup playwood tebal 15mm, bagian tepi dugunakan vinyl jati, Penyelesaian: Menggunakan Politur atau politur dengan warna yang serasi.</t>
  </si>
  <si>
    <t>Rak Majalah</t>
  </si>
  <si>
    <t>Bahan: Rangka dari kayu kelas II, daun penutup dari papan atau playwood tebal 18mm, dipolitur atau cat melamin, menggunakan sambungan pen diperkuat dengan pasak dan lem kayu</t>
  </si>
  <si>
    <t>Rak Surat Kabar</t>
  </si>
  <si>
    <t>Meja Baca</t>
  </si>
  <si>
    <t>Meja Baca Tertutup, Konstruksi: Menggunakan sambungan pen diperkuat dengan pasak dan lem kayu, Bagian depan ditutup papan/playwood, daun meja playwood diberi list dari kayu keras. Bahan: Rangka dari kayu kelas II, daun penutup depan dari papan/playwood tebal 18 mm. Penyelesaian: Dipolitur atau cat.</t>
  </si>
  <si>
    <t>Kursi Baca</t>
  </si>
  <si>
    <t>Kerangka menggunakan sambungan pen, lubang diperkuat dengan pasak dan lem, rangka dari kayu kelas II, di politur atau di cat melamin</t>
  </si>
  <si>
    <t>Kontruksi: Kerangka menggunakan sambungan pen dan lubang diperkuat dengan pasak dan lem kayu, Bahan: Rangka dari kayu kls. II, dudukan dan sandaran dari papan/playwood tebal 16mm dilapisi jok busa karet dibungkus vinyl, Penyelesaian: Dipolitur atau cat melamin</t>
  </si>
  <si>
    <t>Meja Kerja / sirkulasi</t>
  </si>
  <si>
    <t>Konstruksi: Menggunakan sambungan pen diperkuat dengan pasak dan lem kayu, Bagian depan ditutup papan/playwood, daun penutup playwood diberi list dari kayu keras. Bahan: Rangka dari kayu kelas II, daun penutup dari papan/playwood tebal 18 mm. Penyelesaian: Dipolitur atau cat.</t>
  </si>
  <si>
    <t>Lemari Katalog</t>
  </si>
  <si>
    <t>Terbuat dari papan triplek atau playwood</t>
  </si>
  <si>
    <t>Meja Multimedia</t>
  </si>
  <si>
    <t>Meja Serbaguna/Multimedia: Rangka terbuat dari kayu kelas II daun penutup dari papan atau playwood tebal 18 mm kualitas baik, di politur atau cat melamin</t>
  </si>
  <si>
    <t>Globe</t>
  </si>
  <si>
    <t>Globe Berbahan Plastik</t>
  </si>
  <si>
    <t>Lampu SL 18 watt</t>
  </si>
  <si>
    <t>Lemari Alternatif: Bahan dari kayu kelas II, Kontruksi: Menggunakan Sambungan lubang dari pen, Finishing: Menggunakan cat atau politur dengan warna yang sesuai</t>
  </si>
  <si>
    <t>Saklar teridiri dari Saklar Ganda 220 volt 1 buah dan Saklar tunggal 220 volt 1 buah</t>
  </si>
  <si>
    <t>Stop Kontak 220 Volt Merek Panasonic</t>
  </si>
  <si>
    <t>Alat Multimedia</t>
  </si>
  <si>
    <t>Soket Listrik (Stop Kontak) Portable dengan panjang kabel +/- 8 m</t>
  </si>
  <si>
    <t>Kabel Panjang 7,5 M, dengan lubang stop kontak 3 buah</t>
  </si>
  <si>
    <t>Sumber Belajar Lain</t>
  </si>
  <si>
    <t>Majalah</t>
  </si>
  <si>
    <t>Terbuat dari bahan yang kuat dan tahan lama</t>
  </si>
  <si>
    <t>Terbuat dari bahan stainles</t>
  </si>
  <si>
    <t>Terbuat dari bahan plastik</t>
  </si>
  <si>
    <t>Jam dinding plastik</t>
  </si>
  <si>
    <t>Anatomi kerangka manusia</t>
  </si>
  <si>
    <t>Terbuat dari bahan yang kuat</t>
  </si>
  <si>
    <t>Benda model</t>
  </si>
  <si>
    <t>Listrik / Elektrik</t>
  </si>
  <si>
    <t>3D (Tiga Dimensi)</t>
  </si>
  <si>
    <t>Cawan petridis</t>
  </si>
  <si>
    <t>Gelas Penutup</t>
  </si>
  <si>
    <t>Kaca Preparat</t>
  </si>
  <si>
    <t>Kasa</t>
  </si>
  <si>
    <t>-</t>
  </si>
  <si>
    <t>Kertas saring</t>
  </si>
  <si>
    <t>Mikroskop</t>
  </si>
  <si>
    <t>Tabung Reaksi</t>
  </si>
  <si>
    <t>Bak Cuci</t>
  </si>
  <si>
    <t>Bosshead (Penjepit)</t>
  </si>
  <si>
    <t>Gelas Arloji</t>
  </si>
  <si>
    <t>Kotak Preparat</t>
  </si>
  <si>
    <t>Lemari Alat</t>
  </si>
  <si>
    <t>Lemari Bahan</t>
  </si>
  <si>
    <t>Manual Percobaan</t>
  </si>
  <si>
    <t>Meja Demonstrasi</t>
  </si>
  <si>
    <t>Meja Persiapan</t>
  </si>
  <si>
    <t>Peralatan P3K</t>
  </si>
  <si>
    <t>Perangkat Bedah Hewan</t>
  </si>
  <si>
    <t>Perangkat Pemeliharaan Mikrosk</t>
  </si>
  <si>
    <t>Perangkat Berbahan Kertas</t>
  </si>
  <si>
    <t>Sumbat Karet 1 Lubang</t>
  </si>
  <si>
    <t>Sumbat Karet 2 Lubang</t>
  </si>
  <si>
    <t>Termometer</t>
  </si>
  <si>
    <t>Meja Siswa Tunggal : Rangka terbuat dari kayu kls II, daun penutup depan dari papan atau playwood 18 mm, di politur atau cat melamin</t>
  </si>
  <si>
    <t>Kursi Siswa : Kerangka menggunakan sambungan pen, lubang diperkuat dengan pasak dan lem, rangka dari kayu kelas II, di politur atau di cat melamin</t>
  </si>
  <si>
    <t>Meja Kerja 1/2 Biro : Panil dari playwood 18 mm, dasar laci playwood 6 mm kunci slinder dan tarikan, di politur atau cat melamin</t>
  </si>
  <si>
    <t>Rangka dari kayu kls. II, dudukan dan sandaran dari papan atau playwood 18mm, dilapisi jok busa karet dibungkus vinyl, kualitas baik, dipolitur atau cat melamin</t>
  </si>
  <si>
    <t>Papan terbuat dari kayu kls. II atau playwood 18mm(Kualitas baik), dipolitur atau cat docu putih tipis</t>
  </si>
  <si>
    <t>Lemari terbuat dari kayu kelas II</t>
  </si>
  <si>
    <t>Tempat Sampah Kecil Berbahan Plastik</t>
  </si>
  <si>
    <t>Tempat Cuci Tangan berbahan plastik/ember</t>
  </si>
  <si>
    <t>Kotak kontak terdiri dari Stop Kontak dan Saklar</t>
  </si>
  <si>
    <t>Stop Kontak 220Volt</t>
  </si>
  <si>
    <t>Papan Pajang Terbuat dari Bahan Triplek</t>
  </si>
  <si>
    <t>Tempat sampah plastik</t>
  </si>
  <si>
    <t>Kotak Kontak terdiri dari: Saklar Tunggal 220 Volt</t>
  </si>
  <si>
    <t>Berbahan Keramik</t>
  </si>
  <si>
    <t>Berbahan Plastik</t>
  </si>
  <si>
    <t>Gantungan Pakaian berbahan steinlis steel</t>
  </si>
  <si>
    <t>Saklar Tunggal 220 Volt</t>
  </si>
  <si>
    <t>Bahan : Panil dari playwood 18 mm, papan dan kayu kelas II, dasar laci playwood 6 mm, rel tarikan, dipolitur atau cat melamin.</t>
  </si>
  <si>
    <t>Kursi lipat standar.</t>
  </si>
  <si>
    <t>Meja Kerja 1/2 Biro : Panil dari playwood 18 mm, papan dan rangka kayu kelas II, dasar laci playwood 6 mm, kunci silinder dan tarikan, dipolitur atau cat melamin</t>
  </si>
  <si>
    <t>Rangka dari kayu kelas II, dudukan dan sandaran dari papan atau playwood 18 mm dilapisi jok busa karet dibungkus vinyl(kualitas baik), dipolitur atau cat melamin.</t>
  </si>
  <si>
    <t>Papan dari kayu kelas II, atau playwood 18 mm kualitas baik.</t>
  </si>
  <si>
    <t>Berbahan plastik</t>
  </si>
  <si>
    <t>Terdiri dari 1 buah Garuda, gambar presiden dan wakil presiden</t>
  </si>
  <si>
    <t>Hub/Switch hub</t>
  </si>
  <si>
    <t>D-Link Switch Hub 24 Port 10/100 Dekstop Switch</t>
  </si>
  <si>
    <t>Komputer server</t>
  </si>
  <si>
    <t>RAM: 16 Gb, HDD: 1 Tb, Processor: Core i5, LCD/Monitor LG: 47cm/19, Motherboard CPU/Power Supply: Simbadda/Asus Motherboard, Keyboard: Logitech MK 120.</t>
  </si>
  <si>
    <t>Lampu SL 18 Watt.</t>
  </si>
  <si>
    <t>Modem</t>
  </si>
  <si>
    <t>Huwawei</t>
  </si>
  <si>
    <t>Router</t>
  </si>
  <si>
    <t>TP-Link 3G/4G (Wireless/Router) TL-mR3420</t>
  </si>
  <si>
    <t>Saklar Tunggal 220 Volt.</t>
  </si>
  <si>
    <t>Stabilizer</t>
  </si>
  <si>
    <t>Bukan Milik</t>
  </si>
  <si>
    <t>Mitsunaga</t>
  </si>
  <si>
    <t>Stop kontak 220 Volt.</t>
  </si>
  <si>
    <t>Unit Power Supply</t>
  </si>
  <si>
    <t>UPS ICA (220 Va, 50 Hz) bertahan selama 30 menit</t>
  </si>
  <si>
    <t>Modem Huwawei Provider Telkomsel</t>
  </si>
  <si>
    <t>Cable Tester</t>
  </si>
  <si>
    <t>Network Cable Tester RJ 45 dan RJ 11 (1 set)</t>
  </si>
  <si>
    <t>Crimping Tools</t>
  </si>
  <si>
    <t>Standar Tang Crimping Jaringan</t>
  </si>
  <si>
    <t>Lan Server</t>
  </si>
  <si>
    <t>Terdiri dari: Komputer Server, Switch hub, Modem Huwawei, TP-Link, UPS, Stabilizer, RJ 45 beserta Switch dengan daya tampung 21 client</t>
  </si>
  <si>
    <t>Lemari Simpan</t>
  </si>
  <si>
    <t>Rangka dari kayu kelas II dengan dinding dan rak penutup playwood tebal 15mm, untuk merapikan bagian tepi digunakan vinir jati, menggunakan cat/politur dengan warna yg serasi.</t>
  </si>
  <si>
    <t>Stop Kontak Portable 3 port 220 Volt</t>
  </si>
  <si>
    <t>Kotak Kontak piortable dengan panjang kabel -/+ 15 m</t>
  </si>
  <si>
    <t>Teralis Jendela</t>
  </si>
  <si>
    <t>Material : Bingkai besi siku L.2,5.2,5.3, teralis besi O8.</t>
  </si>
  <si>
    <t>Teralis Pintu</t>
  </si>
  <si>
    <t>Kotak Kontak terdiri dari 1 Saklar Ganda 220 Volt</t>
  </si>
  <si>
    <t>Kloset Jongkok berbahan standar kloset</t>
  </si>
  <si>
    <t>Tempat Air berbahan plastik kuat/standar tempat air kamar mandi/wc</t>
  </si>
  <si>
    <t>Terbuat dari steinlis steel</t>
  </si>
  <si>
    <t>Saklar Ganda 220 Volt merek Panasonic</t>
  </si>
  <si>
    <t>Lemari terbuat dari kayu</t>
  </si>
  <si>
    <t>Tempat cuci tangan berbahan plastik/ember</t>
  </si>
  <si>
    <t>Jam Dinding erbahan plastik</t>
  </si>
  <si>
    <t>Kotak Kontak Terdiri dari: 2 Saklar Ganda 220 Volt dan 1 Stop Kontak 220 Volt</t>
  </si>
  <si>
    <t>Lemari kayu dengan 2 pintu dan 4 buah rak</t>
  </si>
  <si>
    <t>Tempat Tidur UKS</t>
  </si>
  <si>
    <t>Meja UKS</t>
  </si>
  <si>
    <t>Meja terbuat dari kayu kelas II</t>
  </si>
  <si>
    <t>Kursi UKS</t>
  </si>
  <si>
    <t>Terbuat dari kayu kelas II</t>
  </si>
  <si>
    <t>Catatan Kesehatan Siswa</t>
  </si>
  <si>
    <t>Dijilid dengan kertas F4</t>
  </si>
  <si>
    <t>Perlengkapan P3K</t>
  </si>
  <si>
    <t>Terdiri dari obat-obatan seperti: Pct, Asmet, Bodrek, Obt diare, balsem, plaster, betadine, dll</t>
  </si>
  <si>
    <t>Tandu</t>
  </si>
  <si>
    <t>Tandu sederhana</t>
  </si>
  <si>
    <t>Selimut</t>
  </si>
  <si>
    <t>Selimut kain</t>
  </si>
  <si>
    <t>Tensimeter</t>
  </si>
  <si>
    <t>Tensimeter standar perawat</t>
  </si>
  <si>
    <t>Termometer Badan</t>
  </si>
  <si>
    <t>Termometer berbahan glass, manual</t>
  </si>
  <si>
    <t>Timbangan Badan</t>
  </si>
  <si>
    <t>Timbangan standar bidan</t>
  </si>
  <si>
    <t>Pengukur Tinggi Badan</t>
  </si>
  <si>
    <t>Pengukur tinggi badan berbahan plastik</t>
  </si>
  <si>
    <t>Kotak obat PPPK</t>
  </si>
  <si>
    <t>Meja Siswa Tunggal: Konstruksi: Mengggunakan sambungan pen diperkuat dengan pasak dan lem kayu. Bahan: Rangka terbuat dari kayu kls II, daun penutup depan dari papan atau playwood 18 mm. Penyelesaian: di politur atau cat melamin.</t>
  </si>
  <si>
    <t>Konstruksi: Kerangka menggunakan sambungan pen dan lubang diperkuat dengna pasak dan lemkayu. Bahan: Rangka dari kayu kls. II, dudukan dan sandaran dari papan/playwood 18 mm. Penyelesaian: Dipolitur atau cat melamin.</t>
  </si>
  <si>
    <t>Meja Kerja 1/2 Biro: Konstruksi: Sambungan menggunakan paku dan pen kayu, semua tepi panil dilindungi list kayu Bahan: Panil dari playwood 18 mm, dasar laci playwood 6 mm kunci slinder dan tarikan. Penyelesaian: di politur atau cat melamin.</t>
  </si>
  <si>
    <t>Konstruksi: Kerangka menggunakan sambungan pen dan lubang diperkuat dengna pasak dan lemkayu. Bahan: Rangka dari kayu kls. II, dudukan dan sandaran dari papan/playwood 18 mm dilapisi jok busa karet dibungkus vinyl. Penyelesaian: Dipolitur atau cat melamin.</t>
  </si>
  <si>
    <t>Konstruksi: Papan dibuat dari playwood 18 mm, papan diperkuat rangka alumunium dilengkapi dengan tempat kapur dan penggantungan tanam 4 bh. Bahan: Papan dari kayu kls II. Penyelesaian: Dipolitur atau cat duco putih tipis.</t>
  </si>
  <si>
    <t>Tempat Cuci Tangan Terbuat dari bahan plastik/Ember</t>
  </si>
  <si>
    <t>Kotak Kontak terdiri dari 1 buah Panel MCB, 1 buah stop kontak dan 1 buah saklar ganda.</t>
  </si>
  <si>
    <t>Simbol Kenegaraan terdiri dari, Foto Bingkai Garuda, Presiden dan Wakil Presiden.</t>
  </si>
  <si>
    <t>Saklar Ganda 220 Volt merek Panasonic.</t>
  </si>
  <si>
    <t>Stop Kontak 220 Volt merek Panasonic</t>
  </si>
  <si>
    <t>Soket Listrik 220 Volt</t>
  </si>
  <si>
    <t>Ember Berbahan Plastik</t>
  </si>
  <si>
    <t>Terdiri dari 1 buah saklar tunggal 220 volt</t>
  </si>
  <si>
    <t>Kloset berbahan keramik</t>
  </si>
  <si>
    <t>Gayung plastik</t>
  </si>
  <si>
    <t>Berbahan stenlis stell</t>
  </si>
  <si>
    <t>Gayung Berbahan Plastik</t>
  </si>
  <si>
    <t>Terdiri dari 1 buah saklar tungal 220 volt</t>
  </si>
  <si>
    <t>Berbahan keramik</t>
  </si>
  <si>
    <t>Gantunga pakaian berbahan stenlis steel</t>
  </si>
  <si>
    <t>Terdiri dari 1 saklar ganda dan 1 stop kontak 220 volt</t>
  </si>
  <si>
    <t>Kursi Pimpinan</t>
  </si>
  <si>
    <t>Meja Pimpinan</t>
  </si>
  <si>
    <t>Meja Kerja 1/2 Biro: Konstruksi: Sambungan menggunakan paku dan pen kayu, semua tepi panil dilindungi list kayu Bahan: Panil dari playwood 18 mm, dasar laci playwood 6 mm kunci slinder dan tarikan. Penyelesaian: di politur atau cat melamin</t>
  </si>
  <si>
    <t>Kursi Tamu terbuat dari kerangka kayu yang kuatt, sandaran dilapisi busa dan kulit kain. serta dudukan dari busa yg dilapisi kain, dipolitur warna naturan. Kerangka meja dari kayu dan meja dari kayu yg kokoh.</t>
  </si>
  <si>
    <t>Simbol Kenegaraan terdiri dari, Foto Bingkai Garuda, Presiden dan Wakil Presiden, Bendera Merah Putih, Bendera Pramuka dan Bingkai Gubernur dan Wakil</t>
  </si>
  <si>
    <t>Komputer Tipe Laptop bermerek Acer</t>
  </si>
  <si>
    <t>Meja Siswa Tunggal: Konstruksi: Mengggunakan sambungan pen diperkuat dengan pasak dan lem kayu. Bahan: Rangka terbuat dari kayu kls II, daun penutup depan dari papan atau playwood 18 mm. Penyelesaian: di politur atau cat melamin</t>
  </si>
  <si>
    <t>Tempat Sampah terbuat dari bahan plastik</t>
  </si>
  <si>
    <t>Tempat Cuci Tangan berbahan plastik/Ember</t>
  </si>
  <si>
    <t>Jam Dindingterbuat dari bahan plastik</t>
  </si>
  <si>
    <t>Kotak Kontak terdiri dari 1 buah saklar ganda 220 volt, 1 buah saklar tunggal 220 volt dan 1 buah stop kontak 220 volt</t>
  </si>
  <si>
    <t>Saklar Ganda 220 Volt dan Saklar Seri 220 Volt</t>
  </si>
  <si>
    <t>Rangka dari kayu kelas II, daun penutup depan dari papan atau playwood tebal 18 mm berkualitas baik, dipolitur atau cat melamin</t>
  </si>
  <si>
    <t>Rangka dari kayu kelas II, dudukan dan sandaran dari papan atau playwood 18mm, dipolitur ata di cat melamin</t>
  </si>
  <si>
    <t>Meja guru 1/2 biro, panil dari playwood 18 mm, papan dan rangka kayu kelas II, , dasar laci playwood 6 mm, kunci slinder dan tarikan, dipolitur atau dicat melamin</t>
  </si>
  <si>
    <t>Rangka dari kayu kelas II, dudukan dan sandaran dari papan atau playwood 18 mm dilapisi jok busa karet, dibungkus vinyl, dipolitur atau cat melamin</t>
  </si>
  <si>
    <t>Papan dari kayu kelas II, atau playwood 18mm (Berkualitas baik) dipolitur atau di cat duco putih tipis</t>
  </si>
  <si>
    <t>Lemari terbuat dari bahan kayu</t>
  </si>
  <si>
    <t>Jam dinding berbahan plastik</t>
  </si>
  <si>
    <t>Kotak Kontak Terdiri dari, Saklar Ganda, Saklar Tunggal, stop kontak dan MCB</t>
  </si>
  <si>
    <t>Terdiri dari 1buah saklar tunggal 220 volt</t>
  </si>
  <si>
    <t>Berbahan Stenlis steel</t>
  </si>
  <si>
    <t>Saklar Tunggal 220 volt merek Panasonic</t>
  </si>
  <si>
    <t>S.Pd, M.Pd.</t>
  </si>
  <si>
    <t>S.S., M.Si.</t>
  </si>
  <si>
    <t>S.Pd.</t>
  </si>
  <si>
    <t>S.Kom.</t>
  </si>
  <si>
    <t>S.Psi.</t>
  </si>
  <si>
    <t>A.Md.</t>
  </si>
  <si>
    <t>S.Psi.I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</si>
</sst>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b/>
      <sz val="16"/>
      <color rgb="FF000000"/>
      <name val="Calibri"/>
    </font>
    <font>
      <b/>
      <sz val="14"/>
      <color rgb="FF000000"/>
      <name val="Calibri"/>
    </font>
    <font>
      <b/>
      <sz val="11"/>
      <color rgb="FF000000"/>
      <name val="Calibri"/>
    </font>
    <font>
      <b/>
      <sz val="12"/>
      <color rgb="FF000000"/>
      <name val="Calibri"/>
    </font>
    <font>
      <b/>
      <sz val="11"/>
      <color rgb="FFFFFFFF"/>
      <name val="Calibri"/>
    </font>
    <font>
      <b/>
      <sz val="10"/>
      <color rgb="FF000000"/>
      <name val="Calibri"/>
    </font>
    <font>
      <b/>
      <sz val="20"/>
      <color rgb="FF000000"/>
      <name val="Calibri"/>
    </font>
  </fonts>
  <fills count="5">
    <fill>
      <patternFill patternType="none"/>
    </fill>
    <fill>
      <patternFill patternType="gray125"/>
    </fill>
    <fill>
      <patternFill patternType="none"/>
    </fill>
    <fill>
      <patternFill patternType="solid">
        <fgColor rgb="FFF2F2F2"/>
        <bgColor rgb="FFFFFFFF"/>
      </patternFill>
    </fill>
    <fill>
      <patternFill patternType="solid">
        <fgColor rgb="FF000000"/>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62">
    <xf numFmtId="0" fontId="0" fillId="2" borderId="0" xfId="0" applyFill="1"/>
    <xf numFmtId="0" fontId="0" fillId="2" borderId="0" xfId="0" applyFill="1" applyAlignment="1">
      <alignment horizontal="center"/>
    </xf>
    <xf numFmtId="0" fontId="1" fillId="2" borderId="0" xfId="0" applyFont="1" applyFill="1"/>
    <xf numFmtId="0" fontId="2" fillId="2" borderId="0" xfId="0" applyFont="1" applyFill="1"/>
    <xf numFmtId="0" fontId="3" fillId="2" borderId="0" xfId="0" applyFont="1" applyFill="1"/>
    <xf numFmtId="0" fontId="3" fillId="3" borderId="1" xfId="0" applyFont="1" applyFill="1" applyBorder="1" applyAlignment="1">
      <alignment horizontal="center"/>
    </xf>
    <xf numFmtId="0" fontId="3" fillId="3" borderId="1" xfId="0" applyFont="1" applyFill="1" applyBorder="1" applyAlignment="1">
      <alignment horizontal="center" vertical="center"/>
    </xf>
    <xf numFmtId="0" fontId="0" fillId="2" borderId="1" xfId="0" applyFill="1" applyBorder="1"/>
    <xf numFmtId="1" fontId="0" fillId="2" borderId="1" xfId="0" applyNumberFormat="1" applyFill="1" applyBorder="1" applyAlignment="1">
      <alignment horizontal="center"/>
    </xf>
    <xf numFmtId="0" fontId="0" fillId="2" borderId="1" xfId="0" applyFill="1" applyBorder="1"/>
    <xf numFmtId="0" fontId="0" fillId="2" borderId="0" xfId="0" applyFill="1"/>
    <xf numFmtId="0" fontId="0" fillId="2" borderId="0" xfId="0" applyFill="1"/>
    <xf numFmtId="49" fontId="4" fillId="2" borderId="0" xfId="0" applyNumberFormat="1" applyFont="1" applyFill="1" applyAlignment="1">
      <alignment horizontal="center"/>
    </xf>
    <xf numFmtId="0" fontId="0" fillId="2" borderId="0" xfId="0" applyFill="1" applyAlignment="1">
      <alignment horizontal="right"/>
    </xf>
    <xf numFmtId="49" fontId="0" fillId="2" borderId="0" xfId="0" applyNumberFormat="1" applyFill="1"/>
    <xf numFmtId="49" fontId="0" fillId="2" borderId="1" xfId="0" applyNumberFormat="1" applyFill="1" applyBorder="1" applyAlignment="1">
      <alignment horizontal="center"/>
    </xf>
    <xf numFmtId="49" fontId="0" fillId="2" borderId="0" xfId="0" applyNumberFormat="1" applyFill="1" applyAlignment="1">
      <alignment horizontal="center"/>
    </xf>
    <xf numFmtId="0" fontId="0" fillId="2" borderId="1" xfId="0" applyFill="1" applyBorder="1" applyAlignment="1">
      <alignment horizontal="center"/>
    </xf>
    <xf numFmtId="49" fontId="0" fillId="2" borderId="0" xfId="0" applyNumberFormat="1" applyFill="1" applyAlignment="1">
      <alignment horizontal="right"/>
    </xf>
    <xf numFmtId="49" fontId="5" fillId="4" borderId="0" xfId="0" applyNumberFormat="1" applyFont="1" applyFill="1"/>
    <xf numFmtId="49" fontId="0" fillId="2" borderId="0" xfId="0" applyNumberFormat="1" applyFill="1" applyAlignment="1">
      <alignment horizontal="left"/>
    </xf>
    <xf numFmtId="49" fontId="0" fillId="2" borderId="0" xfId="0" applyNumberFormat="1" applyFill="1"/>
    <xf numFmtId="49" fontId="0" fillId="2" borderId="0" xfId="0" applyNumberFormat="1" applyFill="1" applyAlignment="1">
      <alignment horizontal="center"/>
    </xf>
    <xf numFmtId="0" fontId="4" fillId="3" borderId="1" xfId="0" applyFont="1" applyFill="1" applyBorder="1" applyAlignment="1">
      <alignment horizontal="center" vertical="center"/>
    </xf>
    <xf numFmtId="0" fontId="0" fillId="2" borderId="0" xfId="0" applyFill="1"/>
    <xf numFmtId="0" fontId="0" fillId="2" borderId="0" xfId="0" applyFill="1" applyAlignment="1">
      <alignment horizontal="center"/>
    </xf>
    <xf numFmtId="0" fontId="1" fillId="2" borderId="0" xfId="0" applyFont="1" applyFill="1"/>
    <xf numFmtId="0" fontId="2" fillId="2" borderId="0" xfId="0" applyFont="1" applyFill="1"/>
    <xf numFmtId="0" fontId="4" fillId="3" borderId="1" xfId="0" applyFont="1" applyFill="1" applyBorder="1" applyAlignment="1">
      <alignment horizontal="center" vertical="center" wrapText="1"/>
    </xf>
    <xf numFmtId="0" fontId="0" fillId="2" borderId="0" xfId="0" applyFill="1" applyAlignment="1">
      <alignment vertical="center"/>
    </xf>
    <xf numFmtId="0" fontId="0" fillId="2" borderId="0" xfId="0" applyFill="1" applyAlignment="1">
      <alignment vertical="center"/>
    </xf>
    <xf numFmtId="0" fontId="3" fillId="2" borderId="0" xfId="0" applyFont="1" applyFill="1"/>
    <xf numFmtId="0" fontId="3" fillId="3" borderId="2" xfId="0" applyFont="1" applyFill="1" applyBorder="1" applyAlignment="1">
      <alignment horizontal="center" vertical="center"/>
    </xf>
    <xf numFmtId="0" fontId="0" fillId="2" borderId="0" xfId="0" applyFill="1" applyAlignment="1">
      <alignment horizontal="left"/>
    </xf>
    <xf numFmtId="49" fontId="0" fillId="2" borderId="1" xfId="0" applyNumberFormat="1" applyFill="1" applyBorder="1" applyAlignment="1">
      <alignment horizontal="left"/>
    </xf>
    <xf numFmtId="49" fontId="5" fillId="4" borderId="0" xfId="0" applyNumberFormat="1" applyFont="1" applyFill="1" applyAlignment="1">
      <alignment horizontal="left"/>
    </xf>
    <xf numFmtId="49" fontId="0" fillId="2" borderId="5" xfId="0" applyNumberFormat="1" applyFill="1" applyBorder="1" applyAlignment="1">
      <alignment horizontal="left"/>
    </xf>
    <xf numFmtId="49" fontId="0" fillId="2" borderId="2" xfId="0" applyNumberFormat="1" applyFill="1" applyBorder="1" applyAlignment="1">
      <alignment horizontal="left"/>
    </xf>
    <xf numFmtId="49" fontId="0" fillId="2" borderId="3" xfId="0" applyNumberFormat="1" applyFill="1" applyBorder="1" applyAlignment="1">
      <alignment horizontal="left"/>
    </xf>
    <xf numFmtId="49" fontId="0" fillId="2" borderId="4" xfId="0" applyNumberFormat="1" applyFill="1" applyBorder="1" applyAlignment="1">
      <alignment horizontal="left"/>
    </xf>
    <xf numFmtId="49" fontId="0" fillId="2" borderId="0" xfId="0" applyNumberFormat="1" applyFill="1" applyAlignment="1">
      <alignment horizontal="left"/>
    </xf>
    <xf numFmtId="0" fontId="7" fillId="3" borderId="0" xfId="0" applyFont="1" applyFill="1" applyAlignment="1">
      <alignment horizontal="center"/>
    </xf>
    <xf numFmtId="0" fontId="5" fillId="4" borderId="0" xfId="0" applyFont="1" applyFill="1" applyAlignment="1">
      <alignment horizontal="left"/>
    </xf>
    <xf numFmtId="49" fontId="0" fillId="2" borderId="2" xfId="0" applyNumberFormat="1" applyFill="1" applyBorder="1"/>
    <xf numFmtId="49" fontId="0" fillId="2" borderId="3" xfId="0" applyNumberFormat="1" applyFill="1" applyBorder="1"/>
    <xf numFmtId="49" fontId="0" fillId="2" borderId="4" xfId="0" applyNumberFormat="1" applyFill="1" applyBorder="1"/>
    <xf numFmtId="0" fontId="3" fillId="3"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0" fontId="0" fillId="2" borderId="2" xfId="0" applyFill="1" applyBorder="1" applyAlignment="1">
      <alignment horizontal="left"/>
    </xf>
    <xf numFmtId="0" fontId="0" fillId="2" borderId="4" xfId="0" applyFill="1" applyBorder="1" applyAlignment="1">
      <alignment horizontal="left"/>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6" fillId="3" borderId="5" xfId="0" applyFont="1" applyFill="1" applyBorder="1" applyAlignment="1">
      <alignment horizontal="center" vertical="center"/>
    </xf>
    <xf numFmtId="0" fontId="3" fillId="3" borderId="7" xfId="0" applyFont="1" applyFill="1" applyBorder="1" applyAlignment="1">
      <alignment horizontal="center" vertical="center" wrapText="1"/>
    </xf>
    <xf numFmtId="0" fontId="0" fillId="2" borderId="6" xfId="0" applyFill="1" applyBorder="1"/>
    <xf numFmtId="0" fontId="0" fillId="2" borderId="6" xfId="0" applyFill="1" applyBorder="1" applyAlignment="1">
      <alignment horizontal="center"/>
    </xf>
    <xf numFmtId="0" fontId="0" fillId="2" borderId="6" xfId="0" applyFill="1" applyBorder="1" applyAlignment="1">
      <alignment horizontal="center" wrapText="1"/>
    </xf>
    <xf numFmtId="0" fontId="3" fillId="3" borderId="5" xfId="0" applyFont="1" applyFill="1" applyBorder="1" applyAlignment="1">
      <alignment horizontal="center" vertical="center"/>
    </xf>
    <xf numFmtId="0" fontId="0" fillId="2" borderId="6" xfId="0" applyFill="1"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workbookViewId="0">
      <selection activeCell="D52" sqref="D52:I52"/>
    </sheetView>
  </sheetViews>
  <sheetFormatPr defaultColWidth="9" defaultRowHeight="15" x14ac:dyDescent="0.25"/>
  <cols>
    <col min="1" max="1" width="4.140625" customWidth="1"/>
    <col min="2" max="2" width="25.42578125" customWidth="1"/>
    <col min="3" max="3" width="4.7109375" customWidth="1"/>
  </cols>
  <sheetData>
    <row r="1" spans="1:9" ht="26.1" customHeight="1" x14ac:dyDescent="0.4">
      <c r="A1" s="41" t="s">
        <v>0</v>
      </c>
      <c r="B1" s="41"/>
      <c r="C1" s="41"/>
      <c r="D1" s="41"/>
      <c r="E1" s="41"/>
      <c r="F1" s="41"/>
      <c r="G1" s="41"/>
      <c r="H1" s="41"/>
      <c r="I1" s="41"/>
    </row>
    <row r="3" spans="1:9" x14ac:dyDescent="0.25">
      <c r="A3" s="42" t="s">
        <v>1</v>
      </c>
      <c r="B3" s="42"/>
      <c r="C3" s="42"/>
      <c r="D3" s="42"/>
      <c r="E3" s="42"/>
      <c r="F3" s="42"/>
      <c r="G3" s="42"/>
      <c r="H3" s="42"/>
      <c r="I3" s="42"/>
    </row>
    <row r="4" spans="1:9" x14ac:dyDescent="0.25">
      <c r="A4" s="13">
        <v>1</v>
      </c>
      <c r="B4" t="s">
        <v>2</v>
      </c>
      <c r="C4" t="s">
        <v>3</v>
      </c>
      <c r="D4" s="37" t="s">
        <v>4</v>
      </c>
      <c r="E4" s="38"/>
      <c r="F4" s="38"/>
      <c r="G4" s="38"/>
      <c r="H4" s="38"/>
      <c r="I4" s="39"/>
    </row>
    <row r="5" spans="1:9" x14ac:dyDescent="0.25">
      <c r="A5" s="13">
        <f>(A4+1)</f>
        <v>2</v>
      </c>
      <c r="B5" t="s">
        <v>5</v>
      </c>
      <c r="C5" t="s">
        <v>3</v>
      </c>
      <c r="D5" s="43">
        <v>69946362</v>
      </c>
      <c r="E5" s="44"/>
      <c r="F5" s="44"/>
      <c r="G5" s="44"/>
      <c r="H5" s="44"/>
      <c r="I5" s="45"/>
    </row>
    <row r="6" spans="1:9" x14ac:dyDescent="0.25">
      <c r="A6" s="13">
        <f>(A5+1)</f>
        <v>3</v>
      </c>
      <c r="B6" t="s">
        <v>6</v>
      </c>
      <c r="C6" t="s">
        <v>3</v>
      </c>
      <c r="D6" s="43" t="s">
        <v>7</v>
      </c>
      <c r="E6" s="44"/>
      <c r="F6" s="44"/>
      <c r="G6" s="44"/>
      <c r="H6" s="44"/>
      <c r="I6" s="45"/>
    </row>
    <row r="7" spans="1:9" x14ac:dyDescent="0.25">
      <c r="A7" s="13">
        <f>(A6+1)</f>
        <v>4</v>
      </c>
      <c r="B7" t="s">
        <v>8</v>
      </c>
      <c r="C7" t="s">
        <v>9</v>
      </c>
      <c r="D7" s="37" t="s">
        <v>10</v>
      </c>
      <c r="E7" s="38"/>
      <c r="F7" s="38"/>
      <c r="G7" s="38"/>
      <c r="H7" s="38"/>
      <c r="I7" s="39"/>
    </row>
    <row r="8" spans="1:9" x14ac:dyDescent="0.25">
      <c r="A8" s="13">
        <f>(A7+1)</f>
        <v>5</v>
      </c>
      <c r="B8" t="s">
        <v>11</v>
      </c>
      <c r="C8" t="s">
        <v>3</v>
      </c>
      <c r="D8" s="37" t="s">
        <v>12</v>
      </c>
      <c r="E8" s="38"/>
      <c r="F8" s="38"/>
      <c r="G8" s="38"/>
      <c r="H8" s="38"/>
      <c r="I8" s="39"/>
    </row>
    <row r="9" spans="1:9" x14ac:dyDescent="0.25">
      <c r="A9" s="14"/>
      <c r="B9" s="14" t="s">
        <v>13</v>
      </c>
      <c r="C9" s="14" t="s">
        <v>3</v>
      </c>
      <c r="D9" s="15">
        <v>31</v>
      </c>
      <c r="E9" s="16" t="s">
        <v>14</v>
      </c>
      <c r="F9" s="17">
        <v>6</v>
      </c>
      <c r="G9" s="40"/>
      <c r="H9" s="40"/>
      <c r="I9" s="40"/>
    </row>
    <row r="10" spans="1:9" x14ac:dyDescent="0.25">
      <c r="A10" s="14"/>
      <c r="B10" s="14" t="s">
        <v>15</v>
      </c>
      <c r="C10" s="14" t="s">
        <v>3</v>
      </c>
      <c r="D10" s="37">
        <v>30974</v>
      </c>
      <c r="E10" s="38"/>
      <c r="F10" s="38"/>
      <c r="G10" s="38"/>
      <c r="H10" s="38"/>
      <c r="I10" s="39"/>
    </row>
    <row r="11" spans="1:9" x14ac:dyDescent="0.25">
      <c r="A11" s="14"/>
      <c r="B11" s="14" t="s">
        <v>16</v>
      </c>
      <c r="C11" s="14" t="s">
        <v>3</v>
      </c>
      <c r="D11" s="37" t="s">
        <v>17</v>
      </c>
      <c r="E11" s="38"/>
      <c r="F11" s="38"/>
      <c r="G11" s="38"/>
      <c r="H11" s="38"/>
      <c r="I11" s="39"/>
    </row>
    <row r="12" spans="1:9" x14ac:dyDescent="0.25">
      <c r="A12" s="14"/>
      <c r="B12" s="14" t="s">
        <v>18</v>
      </c>
      <c r="C12" s="14" t="s">
        <v>3</v>
      </c>
      <c r="D12" s="37" t="s">
        <v>19</v>
      </c>
      <c r="E12" s="38"/>
      <c r="F12" s="38"/>
      <c r="G12" s="38"/>
      <c r="H12" s="38"/>
      <c r="I12" s="39"/>
    </row>
    <row r="13" spans="1:9" x14ac:dyDescent="0.25">
      <c r="A13" s="14"/>
      <c r="B13" s="14" t="s">
        <v>20</v>
      </c>
      <c r="C13" s="14" t="s">
        <v>3</v>
      </c>
      <c r="D13" s="37" t="s">
        <v>21</v>
      </c>
      <c r="E13" s="38"/>
      <c r="F13" s="38"/>
      <c r="G13" s="38"/>
      <c r="H13" s="38"/>
      <c r="I13" s="39"/>
    </row>
    <row r="14" spans="1:9" x14ac:dyDescent="0.25">
      <c r="A14" s="14"/>
      <c r="B14" s="14" t="s">
        <v>22</v>
      </c>
      <c r="C14" s="14" t="s">
        <v>3</v>
      </c>
      <c r="D14" s="37" t="s">
        <v>23</v>
      </c>
      <c r="E14" s="38"/>
      <c r="F14" s="38"/>
      <c r="G14" s="38"/>
      <c r="H14" s="38"/>
      <c r="I14" s="39"/>
    </row>
    <row r="15" spans="1:9" x14ac:dyDescent="0.25">
      <c r="A15" s="14"/>
      <c r="B15" s="14" t="s">
        <v>24</v>
      </c>
      <c r="C15" s="14" t="s">
        <v>9</v>
      </c>
      <c r="D15" s="37" t="s">
        <v>25</v>
      </c>
      <c r="E15" s="38"/>
      <c r="F15" s="38"/>
      <c r="G15" s="38"/>
      <c r="H15" s="38"/>
      <c r="I15" s="39"/>
    </row>
    <row r="16" spans="1:9" x14ac:dyDescent="0.25">
      <c r="A16" s="18">
        <f>(A8+1)</f>
        <v>6</v>
      </c>
      <c r="B16" s="14" t="s">
        <v>26</v>
      </c>
      <c r="C16" s="14" t="s">
        <v>3</v>
      </c>
      <c r="D16" s="34">
        <v>-2.5071707000000001</v>
      </c>
      <c r="E16" s="34"/>
      <c r="F16" s="34"/>
      <c r="G16" s="14" t="s">
        <v>27</v>
      </c>
      <c r="H16" s="14"/>
      <c r="I16" s="14"/>
    </row>
    <row r="17" spans="1:9" x14ac:dyDescent="0.25">
      <c r="A17" s="14"/>
      <c r="B17" s="14"/>
      <c r="C17" s="14"/>
      <c r="D17" s="36">
        <v>104.85861490000001</v>
      </c>
      <c r="E17" s="36"/>
      <c r="F17" s="36"/>
      <c r="G17" s="14" t="s">
        <v>28</v>
      </c>
      <c r="H17" s="14"/>
      <c r="I17" s="14"/>
    </row>
    <row r="18" spans="1:9" x14ac:dyDescent="0.25">
      <c r="A18" s="19" t="s">
        <v>29</v>
      </c>
      <c r="B18" s="19"/>
      <c r="C18" s="19"/>
      <c r="D18" s="19"/>
      <c r="E18" s="19"/>
      <c r="F18" s="19"/>
      <c r="G18" s="19"/>
      <c r="H18" s="19"/>
      <c r="I18" s="19"/>
    </row>
    <row r="19" spans="1:9" x14ac:dyDescent="0.25">
      <c r="A19" s="18">
        <f>(A16+1)</f>
        <v>7</v>
      </c>
      <c r="B19" s="14" t="s">
        <v>30</v>
      </c>
      <c r="C19" s="14" t="s">
        <v>3</v>
      </c>
      <c r="D19" s="34" t="s">
        <v>31</v>
      </c>
      <c r="E19" s="34"/>
      <c r="F19" s="34"/>
      <c r="G19" s="34"/>
      <c r="H19" s="34"/>
      <c r="I19" s="34"/>
    </row>
    <row r="20" spans="1:9" x14ac:dyDescent="0.25">
      <c r="A20" s="18">
        <f t="shared" ref="A20:A31" si="0">(A19+1)</f>
        <v>8</v>
      </c>
      <c r="B20" s="14" t="s">
        <v>32</v>
      </c>
      <c r="C20" s="14" t="s">
        <v>9</v>
      </c>
      <c r="D20" s="34" t="s">
        <v>33</v>
      </c>
      <c r="E20" s="34"/>
      <c r="F20" s="34"/>
      <c r="G20" s="34"/>
      <c r="H20" s="34"/>
      <c r="I20" s="34"/>
    </row>
    <row r="21" spans="1:9" x14ac:dyDescent="0.25">
      <c r="A21" s="18">
        <f t="shared" si="0"/>
        <v>9</v>
      </c>
      <c r="B21" s="20" t="s">
        <v>34</v>
      </c>
      <c r="C21" s="14" t="s">
        <v>3</v>
      </c>
      <c r="D21" s="34" t="s">
        <v>35</v>
      </c>
      <c r="E21" s="34"/>
      <c r="F21" s="34"/>
      <c r="G21" s="34"/>
      <c r="H21" s="34"/>
      <c r="I21" s="34"/>
    </row>
    <row r="22" spans="1:9" x14ac:dyDescent="0.25">
      <c r="A22" s="18">
        <f t="shared" si="0"/>
        <v>10</v>
      </c>
      <c r="B22" s="20" t="s">
        <v>36</v>
      </c>
      <c r="C22" s="14" t="s">
        <v>3</v>
      </c>
      <c r="D22" s="34" t="s">
        <v>37</v>
      </c>
      <c r="E22" s="34"/>
      <c r="F22" s="34"/>
      <c r="G22" s="34"/>
      <c r="H22" s="34"/>
      <c r="I22" s="34"/>
    </row>
    <row r="23" spans="1:9" x14ac:dyDescent="0.25">
      <c r="A23" s="18">
        <f t="shared" si="0"/>
        <v>11</v>
      </c>
      <c r="B23" s="20" t="s">
        <v>38</v>
      </c>
      <c r="C23" s="14" t="s">
        <v>3</v>
      </c>
      <c r="D23" s="34" t="s">
        <v>33</v>
      </c>
      <c r="E23" s="34"/>
      <c r="F23" s="34"/>
      <c r="G23" s="34"/>
      <c r="H23" s="34"/>
      <c r="I23" s="34"/>
    </row>
    <row r="24" spans="1:9" x14ac:dyDescent="0.25">
      <c r="A24" s="18">
        <f t="shared" si="0"/>
        <v>12</v>
      </c>
      <c r="B24" s="20" t="s">
        <v>39</v>
      </c>
      <c r="C24" s="14" t="s">
        <v>3</v>
      </c>
      <c r="D24" s="34"/>
      <c r="E24" s="34"/>
      <c r="F24" s="34"/>
      <c r="G24" s="34"/>
      <c r="H24" s="34"/>
      <c r="I24" s="34"/>
    </row>
    <row r="25" spans="1:9" x14ac:dyDescent="0.25">
      <c r="A25" s="18">
        <f t="shared" si="0"/>
        <v>13</v>
      </c>
      <c r="B25" s="20" t="s">
        <v>40</v>
      </c>
      <c r="C25" s="14" t="s">
        <v>3</v>
      </c>
      <c r="D25" s="34">
        <v>1723100002</v>
      </c>
      <c r="E25" s="34"/>
      <c r="F25" s="34"/>
      <c r="G25" s="34"/>
      <c r="H25" s="34"/>
      <c r="I25" s="34"/>
    </row>
    <row r="26" spans="1:9" x14ac:dyDescent="0.25">
      <c r="A26" s="18">
        <f t="shared" si="0"/>
        <v>14</v>
      </c>
      <c r="B26" s="20" t="s">
        <v>41</v>
      </c>
      <c r="C26" s="14" t="s">
        <v>3</v>
      </c>
      <c r="D26" s="34" t="s">
        <v>42</v>
      </c>
      <c r="E26" s="34"/>
      <c r="F26" s="34"/>
      <c r="G26" s="34"/>
      <c r="H26" s="34"/>
      <c r="I26" s="34"/>
    </row>
    <row r="27" spans="1:9" x14ac:dyDescent="0.25">
      <c r="A27" s="18">
        <f t="shared" si="0"/>
        <v>15</v>
      </c>
      <c r="B27" s="20" t="s">
        <v>43</v>
      </c>
      <c r="C27" s="14" t="s">
        <v>3</v>
      </c>
      <c r="D27" s="34" t="s">
        <v>44</v>
      </c>
      <c r="E27" s="34"/>
      <c r="F27" s="34"/>
      <c r="G27" s="34"/>
      <c r="H27" s="34"/>
      <c r="I27" s="34"/>
    </row>
    <row r="28" spans="1:9" x14ac:dyDescent="0.25">
      <c r="A28" s="18">
        <f t="shared" si="0"/>
        <v>16</v>
      </c>
      <c r="B28" s="20" t="s">
        <v>45</v>
      </c>
      <c r="C28" s="14" t="s">
        <v>3</v>
      </c>
      <c r="D28" s="34" t="s">
        <v>4</v>
      </c>
      <c r="E28" s="34"/>
      <c r="F28" s="34"/>
      <c r="G28" s="34"/>
      <c r="H28" s="34"/>
      <c r="I28" s="34"/>
    </row>
    <row r="29" spans="1:9" x14ac:dyDescent="0.25">
      <c r="A29" s="18">
        <f t="shared" si="0"/>
        <v>17</v>
      </c>
      <c r="B29" s="20" t="s">
        <v>46</v>
      </c>
      <c r="C29" s="14" t="s">
        <v>3</v>
      </c>
      <c r="D29" s="34" t="s">
        <v>47</v>
      </c>
      <c r="E29" s="34"/>
      <c r="F29" s="34"/>
      <c r="G29" s="34"/>
      <c r="H29" s="34"/>
      <c r="I29" s="34"/>
    </row>
    <row r="30" spans="1:9" x14ac:dyDescent="0.25">
      <c r="A30" s="18">
        <f t="shared" si="0"/>
        <v>18</v>
      </c>
      <c r="B30" s="20" t="s">
        <v>48</v>
      </c>
      <c r="C30" s="14" t="s">
        <v>3</v>
      </c>
      <c r="D30" s="34" t="s">
        <v>49</v>
      </c>
      <c r="E30" s="34"/>
      <c r="F30" s="34"/>
      <c r="G30" s="34"/>
      <c r="H30" s="34"/>
      <c r="I30" s="34"/>
    </row>
    <row r="31" spans="1:9" x14ac:dyDescent="0.25">
      <c r="A31" s="18">
        <f t="shared" si="0"/>
        <v>19</v>
      </c>
      <c r="B31" s="20" t="s">
        <v>50</v>
      </c>
      <c r="C31" s="14" t="s">
        <v>3</v>
      </c>
      <c r="D31" s="34">
        <v>0</v>
      </c>
      <c r="E31" s="34"/>
      <c r="F31" s="34"/>
      <c r="G31" s="34"/>
      <c r="H31" s="34"/>
      <c r="I31" s="34"/>
    </row>
    <row r="32" spans="1:9" x14ac:dyDescent="0.25">
      <c r="A32" s="18">
        <v>20</v>
      </c>
      <c r="B32" s="20" t="s">
        <v>51</v>
      </c>
      <c r="C32" s="14" t="s">
        <v>3</v>
      </c>
      <c r="D32" s="34" t="s">
        <v>4</v>
      </c>
      <c r="E32" s="34"/>
      <c r="F32" s="34"/>
      <c r="G32" s="34"/>
      <c r="H32" s="34"/>
      <c r="I32" s="34"/>
    </row>
    <row r="33" spans="1:9" x14ac:dyDescent="0.25">
      <c r="A33" s="18">
        <v>21</v>
      </c>
      <c r="B33" s="20" t="s">
        <v>52</v>
      </c>
      <c r="C33" s="14" t="s">
        <v>3</v>
      </c>
      <c r="D33" s="34" t="s">
        <v>53</v>
      </c>
      <c r="E33" s="34"/>
      <c r="F33" s="34"/>
      <c r="G33" s="34"/>
      <c r="H33" s="34"/>
      <c r="I33" s="34"/>
    </row>
    <row r="34" spans="1:9" x14ac:dyDescent="0.25">
      <c r="A34" s="35" t="s">
        <v>54</v>
      </c>
      <c r="B34" s="35"/>
      <c r="C34" s="35"/>
      <c r="D34" s="35"/>
      <c r="E34" s="35"/>
      <c r="F34" s="35"/>
      <c r="G34" s="35"/>
      <c r="H34" s="35"/>
      <c r="I34" s="35"/>
    </row>
    <row r="35" spans="1:9" x14ac:dyDescent="0.25">
      <c r="A35" s="18">
        <v>20</v>
      </c>
      <c r="B35" s="14" t="s">
        <v>55</v>
      </c>
      <c r="C35" s="14" t="s">
        <v>3</v>
      </c>
      <c r="D35" s="34" t="s">
        <v>56</v>
      </c>
      <c r="E35" s="34"/>
      <c r="F35" s="34"/>
      <c r="G35" s="34"/>
      <c r="H35" s="34"/>
      <c r="I35" s="34"/>
    </row>
    <row r="36" spans="1:9" x14ac:dyDescent="0.25">
      <c r="A36" s="18">
        <f>(A35+1)</f>
        <v>21</v>
      </c>
      <c r="B36" s="14" t="s">
        <v>57</v>
      </c>
      <c r="C36" s="14" t="s">
        <v>9</v>
      </c>
      <c r="D36" s="34">
        <v>0</v>
      </c>
      <c r="E36" s="34"/>
      <c r="F36" s="34"/>
      <c r="G36" s="34"/>
      <c r="H36" s="34"/>
      <c r="I36" s="34"/>
    </row>
    <row r="37" spans="1:9" x14ac:dyDescent="0.25">
      <c r="A37" s="18">
        <f>(A36+1)</f>
        <v>22</v>
      </c>
      <c r="B37" s="14" t="s">
        <v>58</v>
      </c>
      <c r="C37" s="14" t="s">
        <v>3</v>
      </c>
      <c r="D37" s="34" t="s">
        <v>59</v>
      </c>
      <c r="E37" s="34"/>
      <c r="F37" s="34"/>
      <c r="G37" s="34"/>
      <c r="H37" s="34"/>
      <c r="I37" s="34"/>
    </row>
    <row r="38" spans="1:9" x14ac:dyDescent="0.25">
      <c r="A38" s="18">
        <f>(A37+1)</f>
        <v>23</v>
      </c>
      <c r="B38" s="14" t="s">
        <v>60</v>
      </c>
      <c r="C38" s="14" t="s">
        <v>9</v>
      </c>
      <c r="D38" s="34" t="s">
        <v>61</v>
      </c>
      <c r="E38" s="34"/>
      <c r="F38" s="34"/>
      <c r="G38" s="34"/>
      <c r="H38" s="34"/>
      <c r="I38" s="34"/>
    </row>
    <row r="39" spans="1:9" x14ac:dyDescent="0.25">
      <c r="A39" s="35" t="s">
        <v>62</v>
      </c>
      <c r="B39" s="35"/>
      <c r="C39" s="35"/>
      <c r="D39" s="35"/>
      <c r="E39" s="35"/>
      <c r="F39" s="35"/>
      <c r="G39" s="35"/>
      <c r="H39" s="35"/>
      <c r="I39" s="35"/>
    </row>
    <row r="40" spans="1:9" x14ac:dyDescent="0.25">
      <c r="A40" s="18">
        <v>24</v>
      </c>
      <c r="B40" s="20" t="s">
        <v>63</v>
      </c>
      <c r="C40" s="14" t="s">
        <v>3</v>
      </c>
      <c r="D40" s="34" t="s">
        <v>64</v>
      </c>
      <c r="E40" s="34"/>
      <c r="F40" s="34"/>
      <c r="G40" s="34"/>
      <c r="H40" s="34"/>
      <c r="I40" s="34"/>
    </row>
    <row r="41" spans="1:9" x14ac:dyDescent="0.25">
      <c r="A41" s="18">
        <f t="shared" ref="A41:A46" si="1">(A40+1)</f>
        <v>25</v>
      </c>
      <c r="B41" s="14" t="s">
        <v>65</v>
      </c>
      <c r="C41" s="14" t="s">
        <v>3</v>
      </c>
      <c r="D41" s="34" t="s">
        <v>47</v>
      </c>
      <c r="E41" s="34"/>
      <c r="F41" s="34"/>
      <c r="G41" s="34"/>
      <c r="H41" s="34"/>
      <c r="I41" s="34"/>
    </row>
    <row r="42" spans="1:9" x14ac:dyDescent="0.25">
      <c r="A42" s="18">
        <f t="shared" si="1"/>
        <v>26</v>
      </c>
      <c r="B42" s="14" t="s">
        <v>66</v>
      </c>
      <c r="C42" s="14" t="s">
        <v>3</v>
      </c>
      <c r="D42" s="34" t="s">
        <v>67</v>
      </c>
      <c r="E42" s="34"/>
      <c r="F42" s="34"/>
      <c r="G42" s="34"/>
      <c r="H42" s="34"/>
      <c r="I42" s="34"/>
    </row>
    <row r="43" spans="1:9" x14ac:dyDescent="0.25">
      <c r="A43" s="18">
        <f t="shared" si="1"/>
        <v>27</v>
      </c>
      <c r="B43" s="14" t="s">
        <v>68</v>
      </c>
      <c r="C43" s="14" t="s">
        <v>3</v>
      </c>
      <c r="D43" s="34" t="s">
        <v>69</v>
      </c>
      <c r="E43" s="34"/>
      <c r="F43" s="34"/>
      <c r="G43" s="34"/>
      <c r="H43" s="34"/>
      <c r="I43" s="34"/>
    </row>
    <row r="44" spans="1:9" x14ac:dyDescent="0.25">
      <c r="A44" s="18">
        <f t="shared" si="1"/>
        <v>28</v>
      </c>
      <c r="B44" s="14" t="s">
        <v>70</v>
      </c>
      <c r="C44" s="14" t="s">
        <v>3</v>
      </c>
      <c r="D44" s="34">
        <v>1300</v>
      </c>
      <c r="E44" s="34"/>
      <c r="F44" s="34"/>
      <c r="G44" s="34"/>
      <c r="H44" s="34"/>
      <c r="I44" s="34"/>
    </row>
    <row r="45" spans="1:9" x14ac:dyDescent="0.25">
      <c r="A45" s="18">
        <f t="shared" si="1"/>
        <v>29</v>
      </c>
      <c r="B45" s="14" t="s">
        <v>71</v>
      </c>
      <c r="C45" s="14" t="s">
        <v>3</v>
      </c>
      <c r="D45" s="34" t="s">
        <v>72</v>
      </c>
      <c r="E45" s="34"/>
      <c r="F45" s="34"/>
      <c r="G45" s="34"/>
      <c r="H45" s="34"/>
      <c r="I45" s="34"/>
    </row>
    <row r="46" spans="1:9" x14ac:dyDescent="0.25">
      <c r="A46" s="18">
        <f t="shared" si="1"/>
        <v>30</v>
      </c>
      <c r="B46" s="14" t="s">
        <v>73</v>
      </c>
      <c r="C46" s="14" t="s">
        <v>3</v>
      </c>
      <c r="D46" s="34" t="s">
        <v>74</v>
      </c>
      <c r="E46" s="34"/>
      <c r="F46" s="34"/>
      <c r="G46" s="34"/>
      <c r="H46" s="34"/>
      <c r="I46" s="34"/>
    </row>
    <row r="47" spans="1:9" x14ac:dyDescent="0.25">
      <c r="A47" s="35" t="s">
        <v>75</v>
      </c>
      <c r="B47" s="35"/>
      <c r="C47" s="35"/>
      <c r="D47" s="35"/>
      <c r="E47" s="35"/>
      <c r="F47" s="35"/>
      <c r="G47" s="35"/>
      <c r="H47" s="35"/>
      <c r="I47" s="35"/>
    </row>
    <row r="48" spans="1:9" x14ac:dyDescent="0.25">
      <c r="A48" s="18">
        <v>31</v>
      </c>
      <c r="B48" s="14" t="s">
        <v>76</v>
      </c>
      <c r="C48" s="14" t="s">
        <v>3</v>
      </c>
      <c r="D48" s="34" t="s">
        <v>77</v>
      </c>
      <c r="E48" s="34"/>
      <c r="F48" s="34"/>
      <c r="G48" s="34"/>
      <c r="H48" s="34"/>
      <c r="I48" s="34"/>
    </row>
    <row r="49" spans="1:9" x14ac:dyDescent="0.25">
      <c r="A49" s="18">
        <f>(A48+1)</f>
        <v>32</v>
      </c>
      <c r="B49" s="21" t="s">
        <v>78</v>
      </c>
      <c r="C49" s="14" t="s">
        <v>3</v>
      </c>
      <c r="D49" s="34" t="s">
        <v>49</v>
      </c>
      <c r="E49" s="34"/>
      <c r="F49" s="34"/>
      <c r="G49" s="34"/>
      <c r="H49" s="34"/>
      <c r="I49" s="34"/>
    </row>
    <row r="50" spans="1:9" x14ac:dyDescent="0.25">
      <c r="A50" s="14"/>
      <c r="B50" s="21" t="s">
        <v>79</v>
      </c>
      <c r="C50" s="14"/>
      <c r="D50" s="14"/>
      <c r="E50" s="14"/>
      <c r="F50" s="14"/>
      <c r="G50" s="14"/>
      <c r="H50" s="14"/>
      <c r="I50" s="14"/>
    </row>
    <row r="51" spans="1:9" x14ac:dyDescent="0.25">
      <c r="A51" s="18">
        <f>(A49+1)</f>
        <v>33</v>
      </c>
      <c r="B51" s="21" t="s">
        <v>80</v>
      </c>
      <c r="C51" s="14" t="s">
        <v>3</v>
      </c>
      <c r="D51" s="34" t="s">
        <v>81</v>
      </c>
      <c r="E51" s="34"/>
      <c r="F51" s="34"/>
      <c r="G51" s="34"/>
      <c r="H51" s="34"/>
      <c r="I51" s="34"/>
    </row>
    <row r="52" spans="1:9" x14ac:dyDescent="0.25">
      <c r="A52" s="18">
        <f>(A51+1)</f>
        <v>34</v>
      </c>
      <c r="B52" s="21" t="s">
        <v>82</v>
      </c>
      <c r="C52" s="14" t="s">
        <v>3</v>
      </c>
      <c r="D52" s="34" t="s">
        <v>49</v>
      </c>
      <c r="E52" s="34"/>
      <c r="F52" s="34"/>
      <c r="G52" s="34"/>
      <c r="H52" s="34"/>
      <c r="I52" s="34"/>
    </row>
    <row r="53" spans="1:9" x14ac:dyDescent="0.25">
      <c r="A53" s="14"/>
      <c r="B53" s="21" t="s">
        <v>83</v>
      </c>
      <c r="C53" s="14"/>
      <c r="D53" s="14"/>
      <c r="E53" s="14"/>
      <c r="F53" s="14"/>
      <c r="G53" s="14"/>
      <c r="H53" s="14"/>
      <c r="I53" s="14"/>
    </row>
    <row r="54" spans="1:9" x14ac:dyDescent="0.25">
      <c r="A54" s="18">
        <f>(A52+1)</f>
        <v>35</v>
      </c>
      <c r="B54" s="21" t="s">
        <v>84</v>
      </c>
      <c r="C54" s="14" t="s">
        <v>3</v>
      </c>
      <c r="D54" s="34">
        <v>0</v>
      </c>
      <c r="E54" s="34"/>
      <c r="F54" s="34"/>
      <c r="G54" s="34"/>
      <c r="H54" s="34"/>
      <c r="I54" s="34"/>
    </row>
    <row r="55" spans="1:9" x14ac:dyDescent="0.25">
      <c r="A55" s="14"/>
      <c r="B55" s="21" t="s">
        <v>85</v>
      </c>
      <c r="C55" s="14"/>
      <c r="D55" s="14"/>
      <c r="E55" s="14"/>
      <c r="F55" s="14"/>
      <c r="G55" s="14"/>
      <c r="H55" s="14"/>
      <c r="I55" s="14"/>
    </row>
    <row r="56" spans="1:9" x14ac:dyDescent="0.25">
      <c r="A56" s="18">
        <f>(A54+1)</f>
        <v>36</v>
      </c>
      <c r="B56" s="21" t="s">
        <v>86</v>
      </c>
      <c r="C56" s="14" t="s">
        <v>3</v>
      </c>
      <c r="D56" s="34" t="s">
        <v>87</v>
      </c>
      <c r="E56" s="34"/>
      <c r="F56" s="34"/>
      <c r="G56" s="34"/>
      <c r="H56" s="34"/>
      <c r="I56" s="34"/>
    </row>
    <row r="57" spans="1:9" x14ac:dyDescent="0.25">
      <c r="A57" s="18">
        <f>(A56+1)</f>
        <v>37</v>
      </c>
      <c r="B57" s="21" t="s">
        <v>88</v>
      </c>
      <c r="C57" s="14" t="s">
        <v>3</v>
      </c>
      <c r="D57" s="34" t="s">
        <v>89</v>
      </c>
      <c r="E57" s="34"/>
      <c r="F57" s="34"/>
      <c r="G57" s="34"/>
      <c r="H57" s="34"/>
      <c r="I57" s="34"/>
    </row>
    <row r="58" spans="1:9" x14ac:dyDescent="0.25">
      <c r="A58" s="14"/>
      <c r="B58" s="21" t="s">
        <v>90</v>
      </c>
      <c r="C58" s="14"/>
      <c r="D58" s="14"/>
      <c r="E58" s="14"/>
      <c r="F58" s="14"/>
      <c r="G58" s="14"/>
      <c r="H58" s="14"/>
      <c r="I58" s="14"/>
    </row>
    <row r="59" spans="1:9" x14ac:dyDescent="0.25">
      <c r="A59" s="18">
        <f>(A57+1)</f>
        <v>38</v>
      </c>
      <c r="B59" s="21" t="s">
        <v>91</v>
      </c>
      <c r="C59" s="14" t="s">
        <v>3</v>
      </c>
      <c r="D59" s="34" t="s">
        <v>92</v>
      </c>
      <c r="E59" s="34"/>
      <c r="F59" s="34"/>
      <c r="G59" s="34"/>
      <c r="H59" s="34"/>
      <c r="I59" s="34"/>
    </row>
    <row r="60" spans="1:9" x14ac:dyDescent="0.25">
      <c r="A60" s="18">
        <v>39</v>
      </c>
      <c r="B60" s="21" t="s">
        <v>93</v>
      </c>
      <c r="C60" s="14" t="s">
        <v>3</v>
      </c>
      <c r="D60" s="34">
        <v>0</v>
      </c>
      <c r="E60" s="34"/>
      <c r="F60" s="34"/>
      <c r="G60" s="34"/>
      <c r="H60" s="34"/>
      <c r="I60" s="34"/>
    </row>
    <row r="61" spans="1:9" x14ac:dyDescent="0.25">
      <c r="A61" s="14"/>
      <c r="B61" s="21" t="s">
        <v>94</v>
      </c>
      <c r="C61" s="14"/>
      <c r="D61" s="14"/>
      <c r="E61" s="14"/>
      <c r="F61" s="14"/>
      <c r="G61" s="14"/>
      <c r="H61" s="14"/>
      <c r="I61" s="14"/>
    </row>
    <row r="62" spans="1:9" x14ac:dyDescent="0.25">
      <c r="A62" s="18">
        <f>(A60+1)</f>
        <v>40</v>
      </c>
      <c r="B62" s="21" t="s">
        <v>95</v>
      </c>
      <c r="C62" s="14" t="s">
        <v>3</v>
      </c>
      <c r="D62" s="34" t="s">
        <v>49</v>
      </c>
      <c r="E62" s="34"/>
      <c r="F62" s="34"/>
      <c r="G62" s="34"/>
      <c r="H62" s="34"/>
      <c r="I62" s="34"/>
    </row>
    <row r="63" spans="1:9" x14ac:dyDescent="0.25">
      <c r="A63" s="14"/>
      <c r="B63" s="21" t="s">
        <v>96</v>
      </c>
      <c r="C63" s="14"/>
      <c r="D63" s="14"/>
      <c r="E63" s="14"/>
      <c r="F63" s="14"/>
      <c r="G63" s="14"/>
      <c r="H63" s="14"/>
      <c r="I63" s="14"/>
    </row>
    <row r="64" spans="1:9" x14ac:dyDescent="0.25">
      <c r="A64" s="14"/>
      <c r="B64" s="21" t="s">
        <v>94</v>
      </c>
      <c r="C64" s="14"/>
      <c r="D64" s="14"/>
      <c r="E64" s="14"/>
      <c r="F64" s="14"/>
      <c r="G64" s="14"/>
      <c r="H64" s="14"/>
      <c r="I64" s="14"/>
    </row>
    <row r="65" spans="1:9" x14ac:dyDescent="0.25">
      <c r="A65" s="18">
        <f>(A62+1)</f>
        <v>41</v>
      </c>
      <c r="B65" s="21" t="s">
        <v>97</v>
      </c>
      <c r="C65" s="14" t="s">
        <v>3</v>
      </c>
      <c r="D65" s="22" t="s">
        <v>98</v>
      </c>
      <c r="E65" s="14"/>
      <c r="F65" s="14" t="s">
        <v>99</v>
      </c>
      <c r="G65" s="14"/>
      <c r="H65" s="14" t="s">
        <v>100</v>
      </c>
      <c r="I65" s="14"/>
    </row>
    <row r="66" spans="1:9" x14ac:dyDescent="0.25">
      <c r="A66" s="14"/>
      <c r="B66" s="21" t="s">
        <v>101</v>
      </c>
      <c r="C66" s="14"/>
      <c r="D66" s="34">
        <v>4</v>
      </c>
      <c r="E66" s="34"/>
      <c r="F66" s="34">
        <v>4</v>
      </c>
      <c r="G66" s="34"/>
      <c r="H66" s="34">
        <v>0</v>
      </c>
      <c r="I66" s="34"/>
    </row>
    <row r="67" spans="1:9" x14ac:dyDescent="0.25">
      <c r="A67" s="18">
        <f>(A65+1)</f>
        <v>42</v>
      </c>
      <c r="B67" s="21" t="s">
        <v>102</v>
      </c>
      <c r="C67" s="14" t="s">
        <v>3</v>
      </c>
      <c r="D67" s="14" t="s">
        <v>98</v>
      </c>
      <c r="E67" s="14"/>
      <c r="F67" s="14" t="s">
        <v>99</v>
      </c>
      <c r="G67" s="14"/>
      <c r="H67" s="14" t="s">
        <v>100</v>
      </c>
      <c r="I67" s="14"/>
    </row>
    <row r="68" spans="1:9" x14ac:dyDescent="0.25">
      <c r="A68" s="14"/>
      <c r="B68" s="21" t="s">
        <v>101</v>
      </c>
      <c r="C68" s="14"/>
      <c r="D68" s="34">
        <v>0</v>
      </c>
      <c r="E68" s="34"/>
      <c r="F68" s="34">
        <v>0</v>
      </c>
      <c r="G68" s="34"/>
      <c r="H68" s="34">
        <v>0</v>
      </c>
      <c r="I68" s="34"/>
    </row>
  </sheetData>
  <sheetProtection formatCells="0" formatColumns="0" formatRows="0" insertColumns="0" insertRows="0" insertHyperlinks="0" deleteColumns="0" deleteRows="0" sort="0" autoFilter="0" pivotTables="0"/>
  <mergeCells count="61">
    <mergeCell ref="A1:I1"/>
    <mergeCell ref="A3:I3"/>
    <mergeCell ref="D4:I4"/>
    <mergeCell ref="D5:I5"/>
    <mergeCell ref="D6:I6"/>
    <mergeCell ref="D7:I7"/>
    <mergeCell ref="D8:I8"/>
    <mergeCell ref="G9:I9"/>
    <mergeCell ref="D10:I10"/>
    <mergeCell ref="D11:I11"/>
    <mergeCell ref="D12:I12"/>
    <mergeCell ref="D13:I13"/>
    <mergeCell ref="D14:I14"/>
    <mergeCell ref="D15:I15"/>
    <mergeCell ref="D16:F16"/>
    <mergeCell ref="D17:F17"/>
    <mergeCell ref="D19:I19"/>
    <mergeCell ref="D20:I20"/>
    <mergeCell ref="D21:I21"/>
    <mergeCell ref="D22:I22"/>
    <mergeCell ref="D23:I23"/>
    <mergeCell ref="D24:I24"/>
    <mergeCell ref="D25:I25"/>
    <mergeCell ref="D26:I26"/>
    <mergeCell ref="D27:I27"/>
    <mergeCell ref="D28:I28"/>
    <mergeCell ref="D29:I29"/>
    <mergeCell ref="D30:I30"/>
    <mergeCell ref="D31:I31"/>
    <mergeCell ref="D32:I32"/>
    <mergeCell ref="D33:I33"/>
    <mergeCell ref="A34:I34"/>
    <mergeCell ref="D35:I35"/>
    <mergeCell ref="D36:I36"/>
    <mergeCell ref="D37:I37"/>
    <mergeCell ref="D38:I38"/>
    <mergeCell ref="A39:I39"/>
    <mergeCell ref="D40:I40"/>
    <mergeCell ref="D41:I41"/>
    <mergeCell ref="D42:I42"/>
    <mergeCell ref="D43:I43"/>
    <mergeCell ref="D44:I44"/>
    <mergeCell ref="D45:I45"/>
    <mergeCell ref="D46:I46"/>
    <mergeCell ref="A47:I47"/>
    <mergeCell ref="D48:I48"/>
    <mergeCell ref="D49:I49"/>
    <mergeCell ref="D51:I51"/>
    <mergeCell ref="D52:I52"/>
    <mergeCell ref="D54:I54"/>
    <mergeCell ref="D56:I56"/>
    <mergeCell ref="D57:I57"/>
    <mergeCell ref="D59:I59"/>
    <mergeCell ref="D60:I60"/>
    <mergeCell ref="D62:I62"/>
    <mergeCell ref="D66:E66"/>
    <mergeCell ref="F66:G66"/>
    <mergeCell ref="H66:I66"/>
    <mergeCell ref="D68:E68"/>
    <mergeCell ref="F68:G68"/>
    <mergeCell ref="H68:I68"/>
  </mergeCells>
  <pageMargins left="0.78740157480314965" right="0.59055118110236227" top="0.59055118110236227" bottom="0.59055118110236227"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26"/>
  <sheetViews>
    <sheetView workbookViewId="0">
      <pane ySplit="7" topLeftCell="A11" activePane="bottomLeft" state="frozen"/>
      <selection pane="bottomLeft" activeCell="W10" sqref="W10"/>
    </sheetView>
  </sheetViews>
  <sheetFormatPr defaultColWidth="9" defaultRowHeight="15" x14ac:dyDescent="0.25"/>
  <cols>
    <col min="1" max="1" width="5.42578125" customWidth="1"/>
    <col min="2" max="2" width="23.140625" bestFit="1" customWidth="1"/>
    <col min="3" max="3" width="18.85546875" customWidth="1"/>
    <col min="4" max="4" width="4.85546875" customWidth="1"/>
    <col min="5" max="5" width="16.85546875" customWidth="1"/>
    <col min="6" max="6" width="16.42578125" customWidth="1"/>
    <col min="7" max="7" width="19.28515625" bestFit="1" customWidth="1"/>
    <col min="8" max="8" width="24.85546875" bestFit="1" customWidth="1"/>
    <col min="9" max="9" width="26.85546875" customWidth="1"/>
    <col min="10" max="10" width="13.140625" bestFit="1" customWidth="1"/>
    <col min="11" max="11" width="11.28515625" style="11" customWidth="1"/>
    <col min="12" max="12" width="15.42578125" style="11" customWidth="1"/>
    <col min="13" max="13" width="38.5703125" style="11" bestFit="1" customWidth="1"/>
    <col min="14" max="14" width="10.5703125" style="11" bestFit="1" customWidth="1"/>
    <col min="15" max="15" width="10.85546875" style="11" bestFit="1" customWidth="1"/>
    <col min="16" max="16" width="71.28515625" style="11" bestFit="1" customWidth="1"/>
    <col min="17" max="17" width="90.85546875" style="11" bestFit="1" customWidth="1"/>
    <col min="18" max="18" width="11.28515625" style="11" bestFit="1" customWidth="1"/>
    <col min="19" max="19" width="4.42578125" style="11" bestFit="1" customWidth="1"/>
    <col min="20" max="20" width="10" style="11" bestFit="1" customWidth="1"/>
    <col min="21" max="21" width="8.28515625" style="11" bestFit="1" customWidth="1"/>
    <col min="22" max="22" width="38.5703125" style="11" bestFit="1" customWidth="1"/>
    <col min="23" max="49" width="9.140625" style="11" customWidth="1"/>
  </cols>
  <sheetData>
    <row r="1" spans="1:49" ht="21" customHeight="1" x14ac:dyDescent="0.35">
      <c r="A1" s="2" t="s">
        <v>103</v>
      </c>
    </row>
    <row r="2" spans="1:49" ht="18.95" customHeight="1" x14ac:dyDescent="0.3">
      <c r="A2" s="3" t="s">
        <v>4</v>
      </c>
    </row>
    <row r="3" spans="1:49" x14ac:dyDescent="0.25">
      <c r="A3" t="s">
        <v>104</v>
      </c>
    </row>
    <row r="4" spans="1:49" x14ac:dyDescent="0.25">
      <c r="A4" t="s">
        <v>105</v>
      </c>
      <c r="D4" t="s">
        <v>106</v>
      </c>
    </row>
    <row r="5" spans="1:49" s="24" customFormat="1" x14ac:dyDescent="0.25"/>
    <row r="6" spans="1:49" ht="15.95" customHeight="1" x14ac:dyDescent="0.25">
      <c r="A6" s="46" t="s">
        <v>107</v>
      </c>
      <c r="B6" s="46" t="s">
        <v>108</v>
      </c>
      <c r="C6" s="46" t="s">
        <v>109</v>
      </c>
      <c r="D6" s="46" t="s">
        <v>110</v>
      </c>
      <c r="E6" s="46" t="s">
        <v>111</v>
      </c>
      <c r="F6" s="46" t="s">
        <v>112</v>
      </c>
      <c r="G6" s="46" t="s">
        <v>113</v>
      </c>
      <c r="H6" s="47" t="s">
        <v>114</v>
      </c>
      <c r="I6" s="47" t="s">
        <v>115</v>
      </c>
      <c r="J6" s="47" t="s">
        <v>116</v>
      </c>
      <c r="K6" s="47"/>
      <c r="L6" s="47"/>
      <c r="M6" s="47"/>
      <c r="N6" s="47"/>
      <c r="O6" s="47"/>
      <c r="P6" s="47"/>
      <c r="Q6" s="47"/>
      <c r="R6" s="47"/>
      <c r="S6" s="47"/>
      <c r="T6" s="47"/>
      <c r="U6" s="47"/>
      <c r="V6" s="47"/>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30" customFormat="1" ht="30" customHeight="1" x14ac:dyDescent="0.25">
      <c r="A7" s="46"/>
      <c r="B7" s="46"/>
      <c r="C7" s="46"/>
      <c r="D7" s="46"/>
      <c r="E7" s="46"/>
      <c r="F7" s="46"/>
      <c r="G7" s="46"/>
      <c r="H7" s="47"/>
      <c r="I7" s="47"/>
      <c r="J7" s="23" t="s">
        <v>117</v>
      </c>
      <c r="K7" s="28" t="s">
        <v>118</v>
      </c>
      <c r="L7" s="23" t="s">
        <v>119</v>
      </c>
      <c r="M7" s="23" t="s">
        <v>120</v>
      </c>
      <c r="N7" s="23" t="s">
        <v>121</v>
      </c>
      <c r="O7" s="23" t="s">
        <v>122</v>
      </c>
      <c r="P7" s="23" t="s">
        <v>123</v>
      </c>
      <c r="Q7" s="23" t="s">
        <v>124</v>
      </c>
      <c r="R7" s="28" t="s">
        <v>125</v>
      </c>
      <c r="S7" s="23" t="s">
        <v>126</v>
      </c>
      <c r="T7" s="23" t="s">
        <v>127</v>
      </c>
      <c r="U7" s="23" t="s">
        <v>128</v>
      </c>
      <c r="V7" s="23" t="s">
        <v>129</v>
      </c>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x14ac:dyDescent="0.25">
      <c r="A8">
        <v>1</v>
      </c>
      <c r="B8" t="s">
        <v>130</v>
      </c>
      <c r="C8" t="s">
        <v>131</v>
      </c>
      <c r="D8" t="s">
        <v>132</v>
      </c>
      <c r="E8" t="s">
        <v>133</v>
      </c>
      <c r="F8" t="s">
        <v>134</v>
      </c>
      <c r="H8" t="s">
        <v>135</v>
      </c>
      <c r="I8" t="s">
        <v>136</v>
      </c>
      <c r="K8" s="11" t="s">
        <v>668</v>
      </c>
      <c r="L8" s="11" t="s">
        <v>137</v>
      </c>
      <c r="M8" s="11" t="s">
        <v>138</v>
      </c>
      <c r="O8" s="11" t="s">
        <v>139</v>
      </c>
      <c r="P8" s="11" t="s">
        <v>140</v>
      </c>
      <c r="Q8" s="11" t="s">
        <v>141</v>
      </c>
      <c r="S8" s="11">
        <v>10</v>
      </c>
      <c r="T8" s="11">
        <v>10</v>
      </c>
      <c r="V8" s="11" t="s">
        <v>142</v>
      </c>
    </row>
    <row r="9" spans="1:49" x14ac:dyDescent="0.25">
      <c r="A9">
        <v>2</v>
      </c>
      <c r="B9" t="s">
        <v>143</v>
      </c>
      <c r="C9" t="s">
        <v>144</v>
      </c>
      <c r="D9" t="s">
        <v>132</v>
      </c>
      <c r="E9" t="s">
        <v>145</v>
      </c>
      <c r="F9" t="s">
        <v>146</v>
      </c>
      <c r="H9" t="s">
        <v>135</v>
      </c>
      <c r="I9" t="s">
        <v>136</v>
      </c>
      <c r="K9" s="11" t="s">
        <v>669</v>
      </c>
      <c r="L9" s="11" t="s">
        <v>137</v>
      </c>
      <c r="M9" s="11" t="s">
        <v>147</v>
      </c>
      <c r="O9" s="11" t="s">
        <v>139</v>
      </c>
      <c r="P9" s="11" t="s">
        <v>140</v>
      </c>
      <c r="Q9" s="11" t="s">
        <v>148</v>
      </c>
      <c r="S9" s="11">
        <v>25</v>
      </c>
      <c r="T9" s="11">
        <v>25</v>
      </c>
      <c r="V9" s="11" t="s">
        <v>147</v>
      </c>
    </row>
    <row r="10" spans="1:49" x14ac:dyDescent="0.25">
      <c r="A10">
        <v>3</v>
      </c>
      <c r="B10" t="s">
        <v>149</v>
      </c>
      <c r="C10" t="s">
        <v>150</v>
      </c>
      <c r="D10" t="s">
        <v>132</v>
      </c>
      <c r="E10" t="s">
        <v>151</v>
      </c>
      <c r="F10" t="s">
        <v>152</v>
      </c>
      <c r="H10" t="s">
        <v>135</v>
      </c>
      <c r="I10" t="s">
        <v>136</v>
      </c>
      <c r="K10" s="11" t="s">
        <v>670</v>
      </c>
      <c r="L10" s="11" t="s">
        <v>153</v>
      </c>
      <c r="M10" s="11" t="s">
        <v>154</v>
      </c>
      <c r="O10" s="11" t="s">
        <v>139</v>
      </c>
      <c r="P10" s="11" t="s">
        <v>155</v>
      </c>
      <c r="Q10" s="11" t="s">
        <v>156</v>
      </c>
      <c r="S10" s="11">
        <v>13</v>
      </c>
      <c r="T10" s="11">
        <v>13</v>
      </c>
      <c r="V10" s="11" t="s">
        <v>154</v>
      </c>
    </row>
    <row r="11" spans="1:49" x14ac:dyDescent="0.25">
      <c r="A11">
        <v>4</v>
      </c>
      <c r="B11" t="s">
        <v>157</v>
      </c>
      <c r="C11" t="s">
        <v>158</v>
      </c>
      <c r="D11" t="s">
        <v>159</v>
      </c>
      <c r="E11" t="s">
        <v>160</v>
      </c>
      <c r="F11" t="s">
        <v>161</v>
      </c>
      <c r="H11" t="s">
        <v>135</v>
      </c>
      <c r="I11" t="s">
        <v>136</v>
      </c>
      <c r="K11" s="11" t="s">
        <v>668</v>
      </c>
      <c r="L11" s="11" t="s">
        <v>137</v>
      </c>
      <c r="M11" s="11" t="s">
        <v>138</v>
      </c>
      <c r="O11" s="11" t="s">
        <v>139</v>
      </c>
      <c r="P11" s="11" t="s">
        <v>140</v>
      </c>
      <c r="Q11" s="11" t="s">
        <v>162</v>
      </c>
      <c r="S11" s="11">
        <v>11</v>
      </c>
      <c r="T11" s="11">
        <v>11</v>
      </c>
      <c r="V11" s="11" t="s">
        <v>142</v>
      </c>
    </row>
    <row r="12" spans="1:49" x14ac:dyDescent="0.25">
      <c r="A12">
        <v>5</v>
      </c>
      <c r="B12" t="s">
        <v>163</v>
      </c>
      <c r="C12" t="s">
        <v>164</v>
      </c>
      <c r="D12" t="s">
        <v>159</v>
      </c>
      <c r="E12" t="s">
        <v>133</v>
      </c>
      <c r="F12" t="s">
        <v>165</v>
      </c>
      <c r="H12" t="s">
        <v>135</v>
      </c>
      <c r="I12" t="s">
        <v>136</v>
      </c>
      <c r="K12" s="11" t="s">
        <v>670</v>
      </c>
      <c r="L12" s="11" t="s">
        <v>153</v>
      </c>
      <c r="M12" s="11" t="s">
        <v>166</v>
      </c>
      <c r="O12" s="11" t="s">
        <v>139</v>
      </c>
      <c r="P12" s="11" t="s">
        <v>167</v>
      </c>
      <c r="Q12" s="11" t="s">
        <v>166</v>
      </c>
      <c r="R12" s="11">
        <v>2</v>
      </c>
      <c r="S12" s="11">
        <v>11</v>
      </c>
      <c r="T12" s="11">
        <v>13</v>
      </c>
      <c r="V12" s="11" t="s">
        <v>166</v>
      </c>
    </row>
    <row r="13" spans="1:49" x14ac:dyDescent="0.25">
      <c r="A13">
        <v>6</v>
      </c>
      <c r="B13" t="s">
        <v>168</v>
      </c>
      <c r="C13" t="s">
        <v>169</v>
      </c>
      <c r="D13" t="s">
        <v>132</v>
      </c>
      <c r="E13" t="s">
        <v>145</v>
      </c>
      <c r="F13" t="s">
        <v>170</v>
      </c>
      <c r="H13" t="s">
        <v>135</v>
      </c>
      <c r="I13" t="s">
        <v>136</v>
      </c>
      <c r="K13" s="11" t="s">
        <v>670</v>
      </c>
      <c r="L13" s="11" t="s">
        <v>153</v>
      </c>
      <c r="M13" s="11" t="s">
        <v>171</v>
      </c>
      <c r="O13" s="11" t="s">
        <v>139</v>
      </c>
      <c r="P13" s="11" t="s">
        <v>155</v>
      </c>
      <c r="Q13" s="11" t="s">
        <v>172</v>
      </c>
      <c r="S13" s="11">
        <v>24</v>
      </c>
      <c r="T13" s="11">
        <v>24</v>
      </c>
      <c r="V13" s="11" t="s">
        <v>171</v>
      </c>
    </row>
    <row r="14" spans="1:49" x14ac:dyDescent="0.25">
      <c r="A14">
        <v>7</v>
      </c>
      <c r="B14" t="s">
        <v>173</v>
      </c>
      <c r="C14" t="s">
        <v>174</v>
      </c>
      <c r="D14" t="s">
        <v>159</v>
      </c>
      <c r="E14" t="s">
        <v>160</v>
      </c>
      <c r="F14" t="s">
        <v>175</v>
      </c>
      <c r="H14" t="s">
        <v>135</v>
      </c>
      <c r="I14" t="s">
        <v>136</v>
      </c>
      <c r="K14" s="11" t="s">
        <v>671</v>
      </c>
      <c r="L14" s="11" t="s">
        <v>153</v>
      </c>
      <c r="M14" s="11" t="s">
        <v>176</v>
      </c>
      <c r="O14" s="11" t="s">
        <v>139</v>
      </c>
      <c r="P14" s="11" t="s">
        <v>140</v>
      </c>
      <c r="Q14" s="11" t="s">
        <v>177</v>
      </c>
      <c r="S14" s="11">
        <v>4</v>
      </c>
      <c r="T14" s="11">
        <v>4</v>
      </c>
      <c r="V14" s="11" t="s">
        <v>176</v>
      </c>
    </row>
    <row r="15" spans="1:49" x14ac:dyDescent="0.25">
      <c r="A15">
        <v>8</v>
      </c>
      <c r="B15" t="s">
        <v>178</v>
      </c>
      <c r="C15" t="s">
        <v>179</v>
      </c>
      <c r="D15" t="s">
        <v>159</v>
      </c>
      <c r="E15" t="s">
        <v>180</v>
      </c>
      <c r="F15" t="s">
        <v>181</v>
      </c>
      <c r="H15" t="s">
        <v>135</v>
      </c>
      <c r="I15" t="s">
        <v>182</v>
      </c>
      <c r="K15" s="11" t="s">
        <v>672</v>
      </c>
      <c r="L15" s="11" t="s">
        <v>153</v>
      </c>
      <c r="M15" s="11" t="s">
        <v>183</v>
      </c>
      <c r="O15" s="11" t="s">
        <v>139</v>
      </c>
      <c r="P15" s="11" t="s">
        <v>184</v>
      </c>
      <c r="Q15" s="11" t="s">
        <v>185</v>
      </c>
      <c r="R15" s="11">
        <v>12</v>
      </c>
      <c r="S15" s="11">
        <v>4</v>
      </c>
      <c r="T15" s="11">
        <v>16</v>
      </c>
      <c r="U15" s="11" t="s">
        <v>186</v>
      </c>
      <c r="V15" s="11" t="s">
        <v>187</v>
      </c>
    </row>
    <row r="16" spans="1:49" x14ac:dyDescent="0.25">
      <c r="A16">
        <v>9</v>
      </c>
      <c r="B16" t="s">
        <v>188</v>
      </c>
      <c r="C16" t="s">
        <v>189</v>
      </c>
      <c r="D16" t="s">
        <v>159</v>
      </c>
      <c r="E16" t="s">
        <v>190</v>
      </c>
      <c r="F16" t="s">
        <v>191</v>
      </c>
      <c r="H16" t="s">
        <v>135</v>
      </c>
      <c r="I16" t="s">
        <v>136</v>
      </c>
      <c r="K16" s="11" t="s">
        <v>670</v>
      </c>
      <c r="L16" s="11" t="s">
        <v>153</v>
      </c>
      <c r="M16" s="11" t="s">
        <v>192</v>
      </c>
      <c r="O16" s="11" t="s">
        <v>139</v>
      </c>
      <c r="P16" s="11" t="s">
        <v>140</v>
      </c>
      <c r="Q16" s="11" t="s">
        <v>193</v>
      </c>
      <c r="S16" s="11">
        <v>28</v>
      </c>
      <c r="T16" s="11">
        <v>28</v>
      </c>
      <c r="V16" s="11" t="s">
        <v>192</v>
      </c>
    </row>
    <row r="17" spans="1:22" x14ac:dyDescent="0.25">
      <c r="A17">
        <v>10</v>
      </c>
      <c r="B17" t="s">
        <v>194</v>
      </c>
      <c r="D17" t="s">
        <v>132</v>
      </c>
      <c r="E17" t="s">
        <v>195</v>
      </c>
      <c r="F17" t="s">
        <v>196</v>
      </c>
      <c r="H17" t="s">
        <v>197</v>
      </c>
      <c r="I17" t="s">
        <v>136</v>
      </c>
      <c r="K17" s="11" t="s">
        <v>670</v>
      </c>
      <c r="L17" s="11" t="s">
        <v>153</v>
      </c>
      <c r="M17" s="11" t="s">
        <v>198</v>
      </c>
      <c r="O17" s="11" t="s">
        <v>199</v>
      </c>
    </row>
    <row r="18" spans="1:22" x14ac:dyDescent="0.25">
      <c r="A18">
        <v>11</v>
      </c>
      <c r="B18" t="s">
        <v>200</v>
      </c>
      <c r="C18" t="s">
        <v>201</v>
      </c>
      <c r="D18" t="s">
        <v>159</v>
      </c>
      <c r="E18" t="s">
        <v>202</v>
      </c>
      <c r="F18" t="s">
        <v>203</v>
      </c>
      <c r="H18" t="s">
        <v>135</v>
      </c>
      <c r="I18" t="s">
        <v>136</v>
      </c>
      <c r="K18" s="11" t="s">
        <v>670</v>
      </c>
      <c r="L18" s="11" t="s">
        <v>153</v>
      </c>
      <c r="M18" s="11" t="s">
        <v>204</v>
      </c>
      <c r="O18" s="11" t="s">
        <v>139</v>
      </c>
      <c r="Q18" s="11" t="s">
        <v>205</v>
      </c>
      <c r="S18" s="11">
        <v>14</v>
      </c>
      <c r="T18" s="11">
        <v>14</v>
      </c>
      <c r="V18" s="11" t="s">
        <v>204</v>
      </c>
    </row>
    <row r="19" spans="1:22" x14ac:dyDescent="0.25">
      <c r="A19">
        <v>12</v>
      </c>
      <c r="B19" t="s">
        <v>206</v>
      </c>
      <c r="C19" t="s">
        <v>207</v>
      </c>
      <c r="D19" t="s">
        <v>132</v>
      </c>
      <c r="E19" t="s">
        <v>17</v>
      </c>
      <c r="F19" t="s">
        <v>208</v>
      </c>
      <c r="H19" t="s">
        <v>209</v>
      </c>
      <c r="I19" t="s">
        <v>210</v>
      </c>
      <c r="K19" s="11" t="s">
        <v>673</v>
      </c>
      <c r="L19" s="11" t="s">
        <v>211</v>
      </c>
      <c r="M19" s="11" t="s">
        <v>212</v>
      </c>
      <c r="O19" s="11" t="s">
        <v>139</v>
      </c>
      <c r="P19" s="11" t="s">
        <v>213</v>
      </c>
      <c r="R19" s="11">
        <v>12</v>
      </c>
      <c r="T19" s="11">
        <v>12</v>
      </c>
    </row>
    <row r="20" spans="1:22" x14ac:dyDescent="0.25">
      <c r="A20">
        <v>13</v>
      </c>
      <c r="B20" t="s">
        <v>214</v>
      </c>
      <c r="D20" t="s">
        <v>132</v>
      </c>
      <c r="E20" t="s">
        <v>215</v>
      </c>
      <c r="F20" t="s">
        <v>216</v>
      </c>
      <c r="H20" t="s">
        <v>209</v>
      </c>
      <c r="I20" t="s">
        <v>217</v>
      </c>
      <c r="L20" s="11" t="s">
        <v>218</v>
      </c>
      <c r="M20" s="11" t="s">
        <v>219</v>
      </c>
      <c r="O20" s="11" t="s">
        <v>139</v>
      </c>
    </row>
    <row r="21" spans="1:22" x14ac:dyDescent="0.25">
      <c r="A21">
        <v>14</v>
      </c>
      <c r="B21" t="s">
        <v>220</v>
      </c>
      <c r="C21" t="s">
        <v>221</v>
      </c>
      <c r="D21" t="s">
        <v>132</v>
      </c>
      <c r="E21" t="s">
        <v>222</v>
      </c>
      <c r="F21" t="s">
        <v>223</v>
      </c>
      <c r="H21" t="s">
        <v>224</v>
      </c>
      <c r="I21" t="s">
        <v>136</v>
      </c>
      <c r="K21" s="11" t="s">
        <v>670</v>
      </c>
      <c r="L21" s="11" t="s">
        <v>153</v>
      </c>
      <c r="M21" s="11" t="s">
        <v>225</v>
      </c>
      <c r="O21" s="11" t="s">
        <v>226</v>
      </c>
      <c r="P21" s="11" t="s">
        <v>227</v>
      </c>
      <c r="Q21" s="11" t="s">
        <v>228</v>
      </c>
      <c r="R21" s="11">
        <v>12</v>
      </c>
      <c r="S21" s="11">
        <v>21</v>
      </c>
      <c r="T21" s="11">
        <v>33</v>
      </c>
      <c r="V21" s="11" t="s">
        <v>225</v>
      </c>
    </row>
    <row r="22" spans="1:22" x14ac:dyDescent="0.25">
      <c r="A22">
        <v>15</v>
      </c>
      <c r="B22" t="s">
        <v>229</v>
      </c>
      <c r="C22" t="s">
        <v>230</v>
      </c>
      <c r="D22" t="s">
        <v>132</v>
      </c>
      <c r="E22" t="s">
        <v>190</v>
      </c>
      <c r="F22" t="s">
        <v>231</v>
      </c>
      <c r="H22" t="s">
        <v>135</v>
      </c>
      <c r="I22" t="s">
        <v>136</v>
      </c>
      <c r="K22" s="11" t="s">
        <v>670</v>
      </c>
      <c r="L22" s="11" t="s">
        <v>153</v>
      </c>
      <c r="M22" s="11" t="s">
        <v>232</v>
      </c>
      <c r="O22" s="11" t="s">
        <v>139</v>
      </c>
      <c r="Q22" s="11" t="s">
        <v>232</v>
      </c>
      <c r="S22" s="11">
        <v>14</v>
      </c>
      <c r="T22" s="11">
        <v>14</v>
      </c>
      <c r="V22" s="11" t="s">
        <v>232</v>
      </c>
    </row>
    <row r="23" spans="1:22" x14ac:dyDescent="0.25">
      <c r="A23">
        <v>16</v>
      </c>
      <c r="B23" t="s">
        <v>233</v>
      </c>
      <c r="C23" t="s">
        <v>234</v>
      </c>
      <c r="D23" t="s">
        <v>132</v>
      </c>
      <c r="E23" t="s">
        <v>235</v>
      </c>
      <c r="F23" t="s">
        <v>236</v>
      </c>
      <c r="G23" t="s">
        <v>237</v>
      </c>
      <c r="H23" t="s">
        <v>238</v>
      </c>
      <c r="I23" t="s">
        <v>239</v>
      </c>
      <c r="K23" s="11" t="s">
        <v>670</v>
      </c>
      <c r="L23" s="11" t="s">
        <v>153</v>
      </c>
      <c r="M23" s="11" t="s">
        <v>240</v>
      </c>
      <c r="N23" s="11" t="s">
        <v>204</v>
      </c>
      <c r="O23" s="11" t="s">
        <v>241</v>
      </c>
      <c r="P23" s="11" t="s">
        <v>239</v>
      </c>
      <c r="R23" s="11">
        <v>24</v>
      </c>
      <c r="T23" s="11">
        <v>24</v>
      </c>
      <c r="V23" s="11" t="s">
        <v>204</v>
      </c>
    </row>
    <row r="24" spans="1:22" x14ac:dyDescent="0.25">
      <c r="A24">
        <v>17</v>
      </c>
      <c r="B24" t="s">
        <v>242</v>
      </c>
      <c r="C24" t="s">
        <v>243</v>
      </c>
      <c r="D24" t="s">
        <v>159</v>
      </c>
      <c r="E24" t="s">
        <v>133</v>
      </c>
      <c r="F24" t="s">
        <v>244</v>
      </c>
      <c r="H24" t="s">
        <v>135</v>
      </c>
      <c r="I24" t="s">
        <v>136</v>
      </c>
      <c r="K24" s="11" t="s">
        <v>670</v>
      </c>
      <c r="L24" s="11" t="s">
        <v>153</v>
      </c>
      <c r="M24" s="11" t="s">
        <v>166</v>
      </c>
      <c r="O24" s="11" t="s">
        <v>139</v>
      </c>
      <c r="P24" s="11" t="s">
        <v>140</v>
      </c>
      <c r="Q24" s="11" t="s">
        <v>245</v>
      </c>
      <c r="S24" s="11">
        <v>11</v>
      </c>
      <c r="T24" s="11">
        <v>11</v>
      </c>
      <c r="V24" s="11" t="s">
        <v>166</v>
      </c>
    </row>
    <row r="25" spans="1:22" x14ac:dyDescent="0.25">
      <c r="A25">
        <v>18</v>
      </c>
      <c r="B25" t="s">
        <v>246</v>
      </c>
      <c r="C25" t="s">
        <v>247</v>
      </c>
      <c r="D25" t="s">
        <v>159</v>
      </c>
      <c r="E25" t="s">
        <v>248</v>
      </c>
      <c r="F25" t="s">
        <v>249</v>
      </c>
      <c r="H25" t="s">
        <v>135</v>
      </c>
      <c r="I25" t="s">
        <v>136</v>
      </c>
      <c r="K25" s="11" t="s">
        <v>674</v>
      </c>
      <c r="L25" s="11" t="s">
        <v>153</v>
      </c>
      <c r="M25" s="11" t="s">
        <v>250</v>
      </c>
      <c r="O25" s="11" t="s">
        <v>139</v>
      </c>
      <c r="P25" s="11" t="s">
        <v>140</v>
      </c>
      <c r="Q25" s="11" t="s">
        <v>250</v>
      </c>
      <c r="S25" s="11">
        <v>7</v>
      </c>
      <c r="T25" s="11">
        <v>7</v>
      </c>
      <c r="V25" s="11" t="s">
        <v>250</v>
      </c>
    </row>
    <row r="26" spans="1:22" x14ac:dyDescent="0.25">
      <c r="A26">
        <v>19</v>
      </c>
      <c r="B26" t="s">
        <v>251</v>
      </c>
      <c r="C26" t="s">
        <v>252</v>
      </c>
      <c r="D26" t="s">
        <v>159</v>
      </c>
      <c r="E26" t="s">
        <v>253</v>
      </c>
      <c r="F26" t="s">
        <v>254</v>
      </c>
      <c r="H26" t="s">
        <v>135</v>
      </c>
      <c r="I26" t="s">
        <v>136</v>
      </c>
      <c r="K26" s="11" t="s">
        <v>670</v>
      </c>
      <c r="L26" s="11" t="s">
        <v>153</v>
      </c>
      <c r="M26" s="11" t="s">
        <v>255</v>
      </c>
      <c r="O26" s="11" t="s">
        <v>139</v>
      </c>
      <c r="P26" s="11" t="s">
        <v>256</v>
      </c>
      <c r="Q26" s="11" t="s">
        <v>255</v>
      </c>
      <c r="R26" s="11">
        <v>12</v>
      </c>
      <c r="S26" s="11">
        <v>11</v>
      </c>
      <c r="T26" s="11">
        <v>23</v>
      </c>
      <c r="V26" s="11" t="s">
        <v>255</v>
      </c>
    </row>
  </sheetData>
  <sheetProtection formatCells="0" formatColumns="0" formatRows="0" insertColumns="0" insertRows="0" insertHyperlinks="0" deleteColumns="0" deleteRows="0" sort="0" autoFilter="0" pivotTables="0"/>
  <mergeCells count="10">
    <mergeCell ref="F6:F7"/>
    <mergeCell ref="G6:G7"/>
    <mergeCell ref="H6:H7"/>
    <mergeCell ref="I6:I7"/>
    <mergeCell ref="J6:V6"/>
    <mergeCell ref="A6:A7"/>
    <mergeCell ref="B6:B7"/>
    <mergeCell ref="C6:C7"/>
    <mergeCell ref="D6:D7"/>
    <mergeCell ref="E6:E7"/>
  </mergeCells>
  <pageMargins left="0.59055118110236227" right="0.59055118110236227" top="0.78740157480314965" bottom="0.59055118110236227" header="0" footer="0"/>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8"/>
  <sheetViews>
    <sheetView workbookViewId="0">
      <selection activeCell="L17" sqref="L17"/>
    </sheetView>
  </sheetViews>
  <sheetFormatPr defaultColWidth="9" defaultRowHeight="15" x14ac:dyDescent="0.25"/>
  <cols>
    <col min="1" max="3" width="12.28515625" customWidth="1"/>
    <col min="5" max="5" width="3.42578125" customWidth="1"/>
    <col min="7" max="7" width="18.42578125" customWidth="1"/>
    <col min="11" max="11" width="3.42578125" customWidth="1"/>
    <col min="12" max="12" width="22.42578125" customWidth="1"/>
  </cols>
  <sheetData>
    <row r="1" spans="1:15" ht="21" customHeight="1" x14ac:dyDescent="0.35">
      <c r="A1" s="2" t="s">
        <v>257</v>
      </c>
    </row>
    <row r="2" spans="1:15" ht="18.95" customHeight="1" x14ac:dyDescent="0.3">
      <c r="A2" s="3" t="s">
        <v>4</v>
      </c>
    </row>
    <row r="3" spans="1:15" x14ac:dyDescent="0.25">
      <c r="A3" t="s">
        <v>104</v>
      </c>
    </row>
    <row r="4" spans="1:15" x14ac:dyDescent="0.25">
      <c r="A4" t="s">
        <v>105</v>
      </c>
      <c r="D4" t="s">
        <v>106</v>
      </c>
    </row>
    <row r="6" spans="1:15" x14ac:dyDescent="0.25">
      <c r="A6" s="4" t="s">
        <v>258</v>
      </c>
      <c r="F6" s="4" t="s">
        <v>259</v>
      </c>
      <c r="L6" s="31" t="s">
        <v>260</v>
      </c>
    </row>
    <row r="7" spans="1:15" x14ac:dyDescent="0.25">
      <c r="A7" s="5" t="s">
        <v>98</v>
      </c>
      <c r="B7" s="5" t="s">
        <v>99</v>
      </c>
      <c r="C7" s="5" t="s">
        <v>261</v>
      </c>
      <c r="F7" s="50" t="s">
        <v>262</v>
      </c>
      <c r="G7" s="51"/>
      <c r="H7" s="6" t="s">
        <v>132</v>
      </c>
      <c r="I7" s="6" t="s">
        <v>159</v>
      </c>
      <c r="J7" s="6" t="s">
        <v>261</v>
      </c>
      <c r="L7" s="32" t="s">
        <v>263</v>
      </c>
      <c r="M7" s="6" t="s">
        <v>132</v>
      </c>
      <c r="N7" s="6" t="s">
        <v>159</v>
      </c>
      <c r="O7" s="6" t="s">
        <v>261</v>
      </c>
    </row>
    <row r="8" spans="1:15" x14ac:dyDescent="0.25">
      <c r="A8" s="7">
        <v>58</v>
      </c>
      <c r="B8" s="7">
        <v>74</v>
      </c>
      <c r="C8" s="7">
        <v>132</v>
      </c>
      <c r="F8" s="48" t="s">
        <v>264</v>
      </c>
      <c r="G8" s="49"/>
      <c r="H8" s="8">
        <v>3</v>
      </c>
      <c r="I8" s="8">
        <v>6</v>
      </c>
      <c r="J8" s="8">
        <f t="shared" ref="J8:J15" si="0">SUM(H8:I8)</f>
        <v>9</v>
      </c>
      <c r="L8" s="33" t="s">
        <v>265</v>
      </c>
      <c r="M8" s="1">
        <v>23</v>
      </c>
      <c r="N8" s="1">
        <v>27</v>
      </c>
      <c r="O8" s="1">
        <v>50</v>
      </c>
    </row>
    <row r="9" spans="1:15" x14ac:dyDescent="0.25">
      <c r="F9" s="48" t="s">
        <v>266</v>
      </c>
      <c r="G9" s="49"/>
      <c r="H9" s="8">
        <v>4</v>
      </c>
      <c r="I9" s="8">
        <v>1</v>
      </c>
      <c r="J9" s="8">
        <f t="shared" si="0"/>
        <v>5</v>
      </c>
      <c r="L9" s="33" t="s">
        <v>267</v>
      </c>
      <c r="M9" s="1">
        <v>22</v>
      </c>
      <c r="N9" s="1">
        <v>24</v>
      </c>
      <c r="O9" s="1">
        <v>46</v>
      </c>
    </row>
    <row r="10" spans="1:15" x14ac:dyDescent="0.25">
      <c r="A10" s="4" t="s">
        <v>268</v>
      </c>
      <c r="F10" s="48" t="s">
        <v>269</v>
      </c>
      <c r="G10" s="49"/>
      <c r="H10" s="8">
        <v>39</v>
      </c>
      <c r="I10" s="8">
        <v>50</v>
      </c>
      <c r="J10" s="8">
        <f t="shared" si="0"/>
        <v>89</v>
      </c>
      <c r="L10" s="33" t="s">
        <v>270</v>
      </c>
      <c r="M10" s="1">
        <v>13</v>
      </c>
      <c r="N10" s="1">
        <v>23</v>
      </c>
      <c r="O10" s="1">
        <v>36</v>
      </c>
    </row>
    <row r="11" spans="1:15" x14ac:dyDescent="0.25">
      <c r="A11" s="5" t="s">
        <v>271</v>
      </c>
      <c r="B11" s="5" t="s">
        <v>132</v>
      </c>
      <c r="C11" s="5" t="s">
        <v>159</v>
      </c>
      <c r="D11" s="5" t="s">
        <v>261</v>
      </c>
      <c r="F11" s="48" t="s">
        <v>272</v>
      </c>
      <c r="G11" s="49"/>
      <c r="H11" s="8">
        <v>8</v>
      </c>
      <c r="I11" s="8">
        <v>15</v>
      </c>
      <c r="J11" s="8">
        <f t="shared" si="0"/>
        <v>23</v>
      </c>
      <c r="L11" s="33" t="s">
        <v>261</v>
      </c>
      <c r="M11" s="1">
        <v>58</v>
      </c>
      <c r="N11" s="1">
        <v>74</v>
      </c>
      <c r="O11" s="1">
        <v>132</v>
      </c>
    </row>
    <row r="12" spans="1:15" x14ac:dyDescent="0.25">
      <c r="A12" s="7" t="s">
        <v>273</v>
      </c>
      <c r="B12" s="7">
        <v>0</v>
      </c>
      <c r="C12" s="7">
        <v>0</v>
      </c>
      <c r="D12" s="7">
        <v>0</v>
      </c>
      <c r="F12" s="48" t="s">
        <v>274</v>
      </c>
      <c r="G12" s="49"/>
      <c r="H12" s="8">
        <v>4</v>
      </c>
      <c r="I12" s="8">
        <v>2</v>
      </c>
      <c r="J12" s="8">
        <f t="shared" si="0"/>
        <v>6</v>
      </c>
      <c r="L12" s="33"/>
      <c r="M12" s="1"/>
      <c r="N12" s="1"/>
      <c r="O12" s="1"/>
    </row>
    <row r="13" spans="1:15" x14ac:dyDescent="0.25">
      <c r="A13" s="7" t="s">
        <v>275</v>
      </c>
      <c r="B13" s="7">
        <v>0</v>
      </c>
      <c r="C13" s="7">
        <v>1</v>
      </c>
      <c r="D13" s="7">
        <v>1</v>
      </c>
      <c r="F13" s="48" t="s">
        <v>276</v>
      </c>
      <c r="G13" s="49"/>
      <c r="H13" s="8">
        <v>0</v>
      </c>
      <c r="I13" s="8">
        <v>0</v>
      </c>
      <c r="J13" s="8">
        <f t="shared" si="0"/>
        <v>0</v>
      </c>
      <c r="L13" s="33"/>
      <c r="M13" s="1"/>
      <c r="N13" s="1"/>
      <c r="O13" s="1"/>
    </row>
    <row r="14" spans="1:15" x14ac:dyDescent="0.25">
      <c r="A14" s="7" t="s">
        <v>277</v>
      </c>
      <c r="B14" s="7">
        <v>2</v>
      </c>
      <c r="C14" s="7">
        <v>7</v>
      </c>
      <c r="D14" s="7">
        <v>9</v>
      </c>
      <c r="F14" s="48" t="s">
        <v>278</v>
      </c>
      <c r="G14" s="49"/>
      <c r="H14" s="8">
        <v>0</v>
      </c>
      <c r="I14" s="8">
        <v>0</v>
      </c>
      <c r="J14" s="8">
        <f t="shared" si="0"/>
        <v>0</v>
      </c>
      <c r="L14" s="33"/>
      <c r="M14" s="1"/>
      <c r="N14" s="1"/>
      <c r="O14" s="1"/>
    </row>
    <row r="15" spans="1:15" x14ac:dyDescent="0.25">
      <c r="A15" s="7" t="s">
        <v>279</v>
      </c>
      <c r="B15" s="7">
        <v>55</v>
      </c>
      <c r="C15" s="7">
        <v>66</v>
      </c>
      <c r="D15" s="7">
        <v>121</v>
      </c>
      <c r="F15" s="48" t="s">
        <v>261</v>
      </c>
      <c r="G15" s="49"/>
      <c r="H15" s="8">
        <f>SUM(H8:H14)</f>
        <v>58</v>
      </c>
      <c r="I15" s="8">
        <f>SUM(I8:I14)</f>
        <v>74</v>
      </c>
      <c r="J15" s="8">
        <f t="shared" si="0"/>
        <v>132</v>
      </c>
      <c r="L15" s="33"/>
      <c r="M15" s="1"/>
      <c r="N15" s="1"/>
      <c r="O15" s="1"/>
    </row>
    <row r="16" spans="1:15" x14ac:dyDescent="0.25">
      <c r="A16" s="7" t="s">
        <v>280</v>
      </c>
      <c r="B16" s="7">
        <v>1</v>
      </c>
      <c r="C16" s="7">
        <v>0</v>
      </c>
      <c r="D16" s="7">
        <v>1</v>
      </c>
      <c r="L16" s="33"/>
      <c r="M16" s="1"/>
      <c r="N16" s="1"/>
      <c r="O16" s="1"/>
    </row>
    <row r="17" spans="1:15" x14ac:dyDescent="0.25">
      <c r="A17" s="9" t="s">
        <v>261</v>
      </c>
      <c r="B17" s="7">
        <v>58</v>
      </c>
      <c r="C17" s="7">
        <v>74</v>
      </c>
      <c r="D17" s="7">
        <v>132</v>
      </c>
      <c r="L17" s="33"/>
      <c r="M17" s="1"/>
      <c r="N17" s="1"/>
      <c r="O17" s="1"/>
    </row>
    <row r="18" spans="1:15" x14ac:dyDescent="0.25">
      <c r="A18" s="10"/>
      <c r="B18" s="11"/>
      <c r="C18" s="11"/>
      <c r="D18" s="11"/>
      <c r="L18" s="33"/>
      <c r="M18" s="1"/>
      <c r="N18" s="1"/>
      <c r="O18" s="1"/>
    </row>
    <row r="19" spans="1:15" x14ac:dyDescent="0.25">
      <c r="A19" s="4" t="s">
        <v>281</v>
      </c>
      <c r="L19" s="33"/>
      <c r="M19" s="1"/>
      <c r="N19" s="1"/>
      <c r="O19" s="1"/>
    </row>
    <row r="20" spans="1:15" x14ac:dyDescent="0.25">
      <c r="A20" s="5" t="s">
        <v>282</v>
      </c>
      <c r="B20" s="5" t="s">
        <v>132</v>
      </c>
      <c r="C20" s="5" t="s">
        <v>159</v>
      </c>
      <c r="D20" s="5" t="s">
        <v>261</v>
      </c>
      <c r="L20" s="33"/>
      <c r="M20" s="1"/>
      <c r="N20" s="1"/>
      <c r="O20" s="1"/>
    </row>
    <row r="21" spans="1:15" x14ac:dyDescent="0.25">
      <c r="A21" s="7" t="s">
        <v>283</v>
      </c>
      <c r="B21" s="7">
        <v>54</v>
      </c>
      <c r="C21" s="7">
        <v>73</v>
      </c>
      <c r="D21" s="7">
        <v>127</v>
      </c>
      <c r="L21" s="33"/>
      <c r="M21" s="1"/>
      <c r="N21" s="1"/>
      <c r="O21" s="1"/>
    </row>
    <row r="22" spans="1:15" x14ac:dyDescent="0.25">
      <c r="A22" s="7" t="s">
        <v>284</v>
      </c>
      <c r="B22" s="7">
        <v>0</v>
      </c>
      <c r="C22" s="7">
        <v>0</v>
      </c>
      <c r="D22" s="7">
        <v>0</v>
      </c>
      <c r="L22" s="33"/>
    </row>
    <row r="23" spans="1:15" x14ac:dyDescent="0.25">
      <c r="A23" s="7" t="s">
        <v>285</v>
      </c>
      <c r="B23" s="7">
        <v>1</v>
      </c>
      <c r="C23" s="7">
        <v>0</v>
      </c>
      <c r="D23" s="7">
        <v>1</v>
      </c>
      <c r="L23" s="33"/>
    </row>
    <row r="24" spans="1:15" x14ac:dyDescent="0.25">
      <c r="A24" s="7" t="s">
        <v>286</v>
      </c>
      <c r="B24" s="7">
        <v>3</v>
      </c>
      <c r="C24" s="7">
        <v>1</v>
      </c>
      <c r="D24" s="7">
        <v>4</v>
      </c>
    </row>
    <row r="25" spans="1:15" x14ac:dyDescent="0.25">
      <c r="A25" s="7" t="s">
        <v>287</v>
      </c>
      <c r="B25" s="7">
        <v>0</v>
      </c>
      <c r="C25" s="7">
        <v>0</v>
      </c>
      <c r="D25" s="7">
        <v>0</v>
      </c>
    </row>
    <row r="26" spans="1:15" x14ac:dyDescent="0.25">
      <c r="A26" s="7" t="s">
        <v>288</v>
      </c>
      <c r="B26" s="7">
        <v>0</v>
      </c>
      <c r="C26" s="7">
        <v>0</v>
      </c>
      <c r="D26" s="7">
        <v>0</v>
      </c>
    </row>
    <row r="27" spans="1:15" x14ac:dyDescent="0.25">
      <c r="A27" s="7" t="s">
        <v>87</v>
      </c>
      <c r="B27" s="7">
        <v>0</v>
      </c>
      <c r="C27" s="7">
        <v>0</v>
      </c>
      <c r="D27" s="7">
        <v>0</v>
      </c>
    </row>
    <row r="28" spans="1:15" x14ac:dyDescent="0.25">
      <c r="A28" s="7" t="s">
        <v>261</v>
      </c>
      <c r="B28" s="7">
        <v>58</v>
      </c>
      <c r="C28" s="7">
        <v>74</v>
      </c>
      <c r="D28" s="7">
        <v>132</v>
      </c>
    </row>
  </sheetData>
  <sheetProtection formatCells="0" formatColumns="0" formatRows="0" insertColumns="0" insertRows="0" insertHyperlinks="0" deleteColumns="0" deleteRows="0" sort="0" autoFilter="0" pivotTables="0"/>
  <mergeCells count="9">
    <mergeCell ref="F12:G12"/>
    <mergeCell ref="F13:G13"/>
    <mergeCell ref="F14:G14"/>
    <mergeCell ref="F15:G15"/>
    <mergeCell ref="F7:G7"/>
    <mergeCell ref="F8:G8"/>
    <mergeCell ref="F9:G9"/>
    <mergeCell ref="F10:G10"/>
    <mergeCell ref="F11:G11"/>
  </mergeCells>
  <pageMargins left="0.59055118110236227" right="0.70866141732283472" top="0.78740157480314965" bottom="0.59055118110236227" header="0" footer="0"/>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workbookViewId="0">
      <pane ySplit="7" topLeftCell="A8" activePane="bottomLeft" state="frozen"/>
      <selection pane="bottomLeft" activeCell="D18" sqref="D18"/>
    </sheetView>
  </sheetViews>
  <sheetFormatPr defaultColWidth="9" defaultRowHeight="15" x14ac:dyDescent="0.25"/>
  <cols>
    <col min="1" max="1" width="5.7109375" customWidth="1"/>
    <col min="2" max="2" width="13.5703125" bestFit="1" customWidth="1"/>
    <col min="3" max="3" width="11.85546875" style="1" customWidth="1"/>
    <col min="4" max="6" width="9" customWidth="1"/>
    <col min="7" max="7" width="22.85546875" customWidth="1"/>
    <col min="8" max="8" width="34.7109375" customWidth="1"/>
    <col min="9" max="9" width="14.85546875" customWidth="1"/>
  </cols>
  <sheetData>
    <row r="1" spans="1:9" ht="21" customHeight="1" x14ac:dyDescent="0.35">
      <c r="A1" s="2" t="s">
        <v>289</v>
      </c>
    </row>
    <row r="2" spans="1:9" ht="18.95" customHeight="1" x14ac:dyDescent="0.3">
      <c r="A2" s="3" t="s">
        <v>4</v>
      </c>
    </row>
    <row r="3" spans="1:9" x14ac:dyDescent="0.25">
      <c r="A3" t="s">
        <v>104</v>
      </c>
    </row>
    <row r="4" spans="1:9" x14ac:dyDescent="0.25">
      <c r="A4" t="s">
        <v>105</v>
      </c>
      <c r="D4" t="s">
        <v>106</v>
      </c>
    </row>
    <row r="6" spans="1:9" x14ac:dyDescent="0.25">
      <c r="A6" s="46" t="s">
        <v>107</v>
      </c>
      <c r="B6" s="46" t="s">
        <v>290</v>
      </c>
      <c r="C6" s="52" t="s">
        <v>291</v>
      </c>
      <c r="D6" s="46" t="s">
        <v>292</v>
      </c>
      <c r="E6" s="46"/>
      <c r="F6" s="46"/>
      <c r="G6" s="46" t="s">
        <v>293</v>
      </c>
      <c r="H6" s="46" t="s">
        <v>294</v>
      </c>
      <c r="I6" s="46" t="s">
        <v>295</v>
      </c>
    </row>
    <row r="7" spans="1:9" x14ac:dyDescent="0.25">
      <c r="A7" s="54"/>
      <c r="B7" s="54"/>
      <c r="C7" s="53"/>
      <c r="D7" s="60" t="s">
        <v>132</v>
      </c>
      <c r="E7" s="60" t="s">
        <v>159</v>
      </c>
      <c r="F7" s="60" t="s">
        <v>261</v>
      </c>
      <c r="G7" s="54"/>
      <c r="H7" s="54"/>
      <c r="I7" s="54"/>
    </row>
    <row r="8" spans="1:9" x14ac:dyDescent="0.25">
      <c r="A8" s="57">
        <v>1</v>
      </c>
      <c r="B8" s="57" t="s">
        <v>296</v>
      </c>
      <c r="C8" s="58">
        <v>10</v>
      </c>
      <c r="D8" s="57">
        <v>13</v>
      </c>
      <c r="E8" s="57">
        <v>23</v>
      </c>
      <c r="F8" s="57">
        <v>36</v>
      </c>
      <c r="G8" s="57" t="s">
        <v>251</v>
      </c>
      <c r="H8" s="57" t="s">
        <v>297</v>
      </c>
      <c r="I8" s="57" t="s">
        <v>298</v>
      </c>
    </row>
    <row r="9" spans="1:9" x14ac:dyDescent="0.25">
      <c r="A9" s="57">
        <v>2</v>
      </c>
      <c r="B9" s="57" t="s">
        <v>299</v>
      </c>
      <c r="C9" s="58">
        <v>11</v>
      </c>
      <c r="D9" s="57">
        <v>17</v>
      </c>
      <c r="E9" s="57">
        <v>9</v>
      </c>
      <c r="F9" s="57">
        <v>26</v>
      </c>
      <c r="G9" s="57" t="s">
        <v>168</v>
      </c>
      <c r="H9" s="57" t="s">
        <v>300</v>
      </c>
      <c r="I9" s="57" t="s">
        <v>301</v>
      </c>
    </row>
    <row r="10" spans="1:9" x14ac:dyDescent="0.25">
      <c r="A10" s="57">
        <v>3</v>
      </c>
      <c r="B10" s="57" t="s">
        <v>302</v>
      </c>
      <c r="C10" s="58">
        <v>11</v>
      </c>
      <c r="D10" s="57">
        <v>6</v>
      </c>
      <c r="E10" s="57">
        <v>18</v>
      </c>
      <c r="F10" s="57">
        <v>24</v>
      </c>
      <c r="G10" s="57" t="s">
        <v>242</v>
      </c>
      <c r="H10" s="57" t="s">
        <v>297</v>
      </c>
      <c r="I10" s="57" t="s">
        <v>303</v>
      </c>
    </row>
    <row r="11" spans="1:9" x14ac:dyDescent="0.25">
      <c r="A11" s="57">
        <v>4</v>
      </c>
      <c r="B11" s="57" t="s">
        <v>304</v>
      </c>
      <c r="C11" s="58">
        <v>12</v>
      </c>
      <c r="D11" s="57">
        <v>3</v>
      </c>
      <c r="E11" s="57">
        <v>18</v>
      </c>
      <c r="F11" s="57">
        <v>21</v>
      </c>
      <c r="G11" s="57" t="s">
        <v>188</v>
      </c>
      <c r="H11" s="57" t="s">
        <v>305</v>
      </c>
      <c r="I11" s="57" t="s">
        <v>306</v>
      </c>
    </row>
    <row r="12" spans="1:9" x14ac:dyDescent="0.25">
      <c r="A12" s="57">
        <v>5</v>
      </c>
      <c r="B12" s="57" t="s">
        <v>307</v>
      </c>
      <c r="C12" s="58">
        <v>12</v>
      </c>
      <c r="D12" s="57">
        <v>19</v>
      </c>
      <c r="E12" s="57">
        <v>6</v>
      </c>
      <c r="F12" s="57">
        <v>25</v>
      </c>
      <c r="G12" s="57" t="s">
        <v>157</v>
      </c>
      <c r="H12" s="57" t="s">
        <v>308</v>
      </c>
      <c r="I12" s="57" t="s">
        <v>309</v>
      </c>
    </row>
  </sheetData>
  <sheetProtection formatCells="0" formatColumns="0" formatRows="0" insertColumns="0" insertRows="0" insertHyperlinks="0" deleteColumns="0" deleteRows="0" sort="0" autoFilter="0" pivotTables="0"/>
  <mergeCells count="7">
    <mergeCell ref="H6:H7"/>
    <mergeCell ref="I6:I7"/>
    <mergeCell ref="D6:F6"/>
    <mergeCell ref="A6:A7"/>
    <mergeCell ref="B6:B7"/>
    <mergeCell ref="C6:C7"/>
    <mergeCell ref="G6:G7"/>
  </mergeCells>
  <pageMargins left="0.59055118110236227" right="0.59055118110236227" top="0.78740157480314965" bottom="0.59055118110236227" header="0" footer="0"/>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0"/>
  <sheetViews>
    <sheetView workbookViewId="0">
      <pane ySplit="7" topLeftCell="A14" activePane="bottomLeft" state="frozen"/>
      <selection pane="bottomLeft" activeCell="AF5" sqref="AF5"/>
    </sheetView>
  </sheetViews>
  <sheetFormatPr defaultColWidth="8.85546875" defaultRowHeight="15" x14ac:dyDescent="0.25"/>
  <cols>
    <col min="1" max="1" width="5.42578125" customWidth="1"/>
    <col min="2" max="2" width="28" bestFit="1" customWidth="1"/>
    <col min="3" max="3" width="16.140625" bestFit="1" customWidth="1"/>
    <col min="4" max="4" width="7.7109375" style="1" customWidth="1"/>
    <col min="5" max="5" width="7" style="1" customWidth="1"/>
    <col min="6" max="6" width="7" style="1" hidden="1" customWidth="1"/>
    <col min="7" max="7" width="16.28515625" style="1" hidden="1" customWidth="1"/>
    <col min="8" max="8" width="13.7109375" style="1" hidden="1" customWidth="1"/>
    <col min="9" max="9" width="13.42578125" style="1" hidden="1" customWidth="1"/>
    <col min="10" max="10" width="8.7109375" style="1" hidden="1" customWidth="1"/>
    <col min="11" max="11" width="9" style="1" hidden="1" customWidth="1"/>
    <col min="12" max="12" width="24.140625" style="1" hidden="1" customWidth="1"/>
    <col min="13" max="13" width="11.7109375" style="1" hidden="1" customWidth="1"/>
    <col min="14" max="14" width="10.85546875" style="1" hidden="1" customWidth="1"/>
    <col min="15" max="15" width="10.7109375" style="1" hidden="1" customWidth="1"/>
    <col min="16" max="16" width="12.85546875" style="1" hidden="1" customWidth="1"/>
    <col min="17" max="17" width="11.28515625" style="1" hidden="1" customWidth="1"/>
    <col min="18" max="18" width="9.42578125" style="1" hidden="1" customWidth="1"/>
    <col min="19" max="19" width="5.7109375" style="1" hidden="1" customWidth="1"/>
    <col min="20" max="20" width="10.7109375" style="1" hidden="1" customWidth="1"/>
    <col min="21" max="21" width="12.28515625" style="1" hidden="1" customWidth="1"/>
    <col min="22" max="22" width="9.85546875" style="1" hidden="1" customWidth="1"/>
    <col min="23" max="23" width="7.7109375" style="1" hidden="1" customWidth="1"/>
    <col min="24" max="24" width="14.85546875" style="1" hidden="1" customWidth="1"/>
    <col min="25" max="25" width="13.140625" style="1" hidden="1" customWidth="1"/>
    <col min="26" max="26" width="14.140625" style="1" hidden="1" customWidth="1"/>
    <col min="27" max="27" width="25" style="1" hidden="1" customWidth="1"/>
    <col min="28" max="28" width="11.5703125" style="1" customWidth="1"/>
    <col min="29" max="29" width="12.140625" style="1" bestFit="1" customWidth="1"/>
  </cols>
  <sheetData>
    <row r="1" spans="1:29" ht="21" customHeight="1" x14ac:dyDescent="0.35">
      <c r="A1" s="2" t="s">
        <v>310</v>
      </c>
    </row>
    <row r="2" spans="1:29" ht="18.95" customHeight="1" x14ac:dyDescent="0.3">
      <c r="A2" s="3" t="s">
        <v>4</v>
      </c>
    </row>
    <row r="3" spans="1:29" x14ac:dyDescent="0.25">
      <c r="A3" t="s">
        <v>104</v>
      </c>
    </row>
    <row r="4" spans="1:29" x14ac:dyDescent="0.25">
      <c r="A4" t="s">
        <v>105</v>
      </c>
      <c r="C4" s="33" t="s">
        <v>106</v>
      </c>
    </row>
    <row r="6" spans="1:29" ht="30" customHeight="1" x14ac:dyDescent="0.25">
      <c r="A6" s="46" t="s">
        <v>107</v>
      </c>
      <c r="B6" s="46" t="s">
        <v>311</v>
      </c>
      <c r="C6" s="46" t="s">
        <v>312</v>
      </c>
      <c r="D6" s="52" t="s">
        <v>313</v>
      </c>
      <c r="E6" s="52" t="s">
        <v>314</v>
      </c>
      <c r="F6" s="46" t="s">
        <v>315</v>
      </c>
      <c r="G6" s="46"/>
      <c r="H6" s="46"/>
      <c r="I6" s="46"/>
      <c r="J6" s="46"/>
      <c r="K6" s="46"/>
      <c r="L6" s="46"/>
      <c r="M6" s="46"/>
      <c r="N6" s="46"/>
      <c r="O6" s="46"/>
      <c r="P6" s="46"/>
      <c r="Q6" s="46"/>
      <c r="R6" s="46"/>
      <c r="S6" s="46"/>
      <c r="T6" s="46"/>
      <c r="U6" s="46"/>
      <c r="V6" s="46"/>
      <c r="W6" s="46"/>
      <c r="X6" s="46"/>
      <c r="Y6" s="46"/>
      <c r="Z6" s="46"/>
      <c r="AA6" s="46"/>
      <c r="AB6" s="53" t="s">
        <v>316</v>
      </c>
      <c r="AC6" s="52" t="s">
        <v>317</v>
      </c>
    </row>
    <row r="7" spans="1:29" ht="30" customHeight="1" x14ac:dyDescent="0.25">
      <c r="A7" s="54"/>
      <c r="B7" s="54"/>
      <c r="C7" s="54"/>
      <c r="D7" s="53"/>
      <c r="E7" s="53"/>
      <c r="F7" s="55" t="s">
        <v>318</v>
      </c>
      <c r="G7" s="55" t="s">
        <v>319</v>
      </c>
      <c r="H7" s="55" t="s">
        <v>320</v>
      </c>
      <c r="I7" s="55" t="s">
        <v>321</v>
      </c>
      <c r="J7" s="55" t="s">
        <v>322</v>
      </c>
      <c r="K7" s="55" t="s">
        <v>323</v>
      </c>
      <c r="L7" s="55" t="s">
        <v>324</v>
      </c>
      <c r="M7" s="55" t="s">
        <v>325</v>
      </c>
      <c r="N7" s="55" t="s">
        <v>326</v>
      </c>
      <c r="O7" s="55" t="s">
        <v>327</v>
      </c>
      <c r="P7" s="55" t="s">
        <v>328</v>
      </c>
      <c r="Q7" s="55" t="s">
        <v>329</v>
      </c>
      <c r="R7" s="55" t="s">
        <v>330</v>
      </c>
      <c r="S7" s="55" t="s">
        <v>331</v>
      </c>
      <c r="T7" s="55" t="s">
        <v>332</v>
      </c>
      <c r="U7" s="55" t="s">
        <v>333</v>
      </c>
      <c r="V7" s="55" t="s">
        <v>334</v>
      </c>
      <c r="W7" s="55" t="s">
        <v>335</v>
      </c>
      <c r="X7" s="55" t="s">
        <v>336</v>
      </c>
      <c r="Y7" s="55" t="s">
        <v>337</v>
      </c>
      <c r="Z7" s="55" t="s">
        <v>338</v>
      </c>
      <c r="AA7" s="55" t="s">
        <v>339</v>
      </c>
      <c r="AB7" s="56"/>
      <c r="AC7" s="54"/>
    </row>
    <row r="8" spans="1:29" x14ac:dyDescent="0.25">
      <c r="A8" s="57">
        <v>1</v>
      </c>
      <c r="B8" s="57" t="s">
        <v>298</v>
      </c>
      <c r="C8" s="57"/>
      <c r="D8" s="58">
        <v>9</v>
      </c>
      <c r="E8" s="58">
        <v>8</v>
      </c>
      <c r="F8" s="58">
        <v>0</v>
      </c>
      <c r="G8" s="58">
        <v>0</v>
      </c>
      <c r="H8" s="58">
        <v>0</v>
      </c>
      <c r="I8" s="58">
        <v>0</v>
      </c>
      <c r="J8" s="58">
        <v>0</v>
      </c>
      <c r="K8" s="58">
        <v>0</v>
      </c>
      <c r="L8" s="58">
        <v>0</v>
      </c>
      <c r="M8" s="58">
        <v>0</v>
      </c>
      <c r="N8" s="58">
        <v>0</v>
      </c>
      <c r="O8" s="58">
        <v>0</v>
      </c>
      <c r="P8" s="58">
        <v>0</v>
      </c>
      <c r="Q8" s="58">
        <v>0</v>
      </c>
      <c r="R8" s="58">
        <v>0</v>
      </c>
      <c r="S8" s="58">
        <v>0</v>
      </c>
      <c r="T8" s="58">
        <v>0</v>
      </c>
      <c r="U8" s="58">
        <v>0</v>
      </c>
      <c r="V8" s="58">
        <v>0</v>
      </c>
      <c r="W8" s="58">
        <v>0</v>
      </c>
      <c r="X8" s="58">
        <v>0</v>
      </c>
      <c r="Y8" s="58">
        <v>0</v>
      </c>
      <c r="Z8" s="58">
        <v>0</v>
      </c>
      <c r="AA8" s="58">
        <v>0</v>
      </c>
      <c r="AB8" s="59">
        <v>0</v>
      </c>
      <c r="AC8" s="58" t="s">
        <v>366</v>
      </c>
    </row>
    <row r="9" spans="1:29" x14ac:dyDescent="0.25">
      <c r="A9" s="57">
        <v>2</v>
      </c>
      <c r="B9" s="57" t="s">
        <v>303</v>
      </c>
      <c r="C9" s="57"/>
      <c r="D9" s="58">
        <v>9</v>
      </c>
      <c r="E9" s="58">
        <v>8</v>
      </c>
      <c r="F9" s="58">
        <v>0</v>
      </c>
      <c r="G9" s="58">
        <v>0</v>
      </c>
      <c r="H9" s="58">
        <v>0</v>
      </c>
      <c r="I9" s="58">
        <v>0</v>
      </c>
      <c r="J9" s="58">
        <v>0</v>
      </c>
      <c r="K9" s="58">
        <v>0</v>
      </c>
      <c r="L9" s="58">
        <v>0</v>
      </c>
      <c r="M9" s="58">
        <v>0</v>
      </c>
      <c r="N9" s="58">
        <v>0</v>
      </c>
      <c r="O9" s="58">
        <v>0</v>
      </c>
      <c r="P9" s="58">
        <v>0</v>
      </c>
      <c r="Q9" s="58">
        <v>0</v>
      </c>
      <c r="R9" s="58">
        <v>0</v>
      </c>
      <c r="S9" s="58">
        <v>0</v>
      </c>
      <c r="T9" s="58">
        <v>0</v>
      </c>
      <c r="U9" s="58">
        <v>0</v>
      </c>
      <c r="V9" s="58">
        <v>0</v>
      </c>
      <c r="W9" s="58">
        <v>0</v>
      </c>
      <c r="X9" s="58">
        <v>0</v>
      </c>
      <c r="Y9" s="58">
        <v>0</v>
      </c>
      <c r="Z9" s="58">
        <v>0</v>
      </c>
      <c r="AA9" s="58">
        <v>0</v>
      </c>
      <c r="AB9" s="58">
        <v>0</v>
      </c>
      <c r="AC9" s="58" t="s">
        <v>366</v>
      </c>
    </row>
    <row r="10" spans="1:29" x14ac:dyDescent="0.25">
      <c r="A10" s="57">
        <v>3</v>
      </c>
      <c r="B10" s="57" t="s">
        <v>301</v>
      </c>
      <c r="C10" s="57"/>
      <c r="D10" s="58">
        <v>9</v>
      </c>
      <c r="E10" s="58">
        <v>8</v>
      </c>
      <c r="F10" s="58">
        <v>0</v>
      </c>
      <c r="G10" s="58">
        <v>0</v>
      </c>
      <c r="H10" s="58">
        <v>0</v>
      </c>
      <c r="I10" s="58">
        <v>0</v>
      </c>
      <c r="J10" s="58">
        <v>0</v>
      </c>
      <c r="K10" s="58">
        <v>0</v>
      </c>
      <c r="L10" s="58">
        <v>0</v>
      </c>
      <c r="M10" s="58">
        <v>0</v>
      </c>
      <c r="N10" s="58">
        <v>0</v>
      </c>
      <c r="O10" s="58">
        <v>0</v>
      </c>
      <c r="P10" s="58">
        <v>0</v>
      </c>
      <c r="Q10" s="58">
        <v>0</v>
      </c>
      <c r="R10" s="58">
        <v>0</v>
      </c>
      <c r="S10" s="58">
        <v>0</v>
      </c>
      <c r="T10" s="58">
        <v>0</v>
      </c>
      <c r="U10" s="58">
        <v>0</v>
      </c>
      <c r="V10" s="58">
        <v>0</v>
      </c>
      <c r="W10" s="58">
        <v>0</v>
      </c>
      <c r="X10" s="58">
        <v>0</v>
      </c>
      <c r="Y10" s="58">
        <v>0</v>
      </c>
      <c r="Z10" s="58">
        <v>0</v>
      </c>
      <c r="AA10" s="58">
        <v>0</v>
      </c>
      <c r="AB10" s="58">
        <v>0</v>
      </c>
      <c r="AC10" s="58" t="s">
        <v>366</v>
      </c>
    </row>
    <row r="11" spans="1:29" x14ac:dyDescent="0.25">
      <c r="A11" s="57">
        <v>4</v>
      </c>
      <c r="B11" s="57" t="s">
        <v>306</v>
      </c>
      <c r="C11" s="57"/>
      <c r="D11" s="58">
        <v>9</v>
      </c>
      <c r="E11" s="58">
        <v>8</v>
      </c>
      <c r="F11" s="58">
        <v>0</v>
      </c>
      <c r="G11" s="58">
        <v>0</v>
      </c>
      <c r="H11" s="58">
        <v>0</v>
      </c>
      <c r="I11" s="58">
        <v>0</v>
      </c>
      <c r="J11" s="58">
        <v>0</v>
      </c>
      <c r="K11" s="58">
        <v>0</v>
      </c>
      <c r="L11" s="58">
        <v>0</v>
      </c>
      <c r="M11" s="58">
        <v>0</v>
      </c>
      <c r="N11" s="58">
        <v>0</v>
      </c>
      <c r="O11" s="58">
        <v>0</v>
      </c>
      <c r="P11" s="58">
        <v>0</v>
      </c>
      <c r="Q11" s="58">
        <v>0</v>
      </c>
      <c r="R11" s="58">
        <v>0</v>
      </c>
      <c r="S11" s="58">
        <v>0</v>
      </c>
      <c r="T11" s="58">
        <v>0</v>
      </c>
      <c r="U11" s="58">
        <v>0</v>
      </c>
      <c r="V11" s="58">
        <v>0</v>
      </c>
      <c r="W11" s="58">
        <v>0</v>
      </c>
      <c r="X11" s="58">
        <v>0</v>
      </c>
      <c r="Y11" s="58">
        <v>0</v>
      </c>
      <c r="Z11" s="58">
        <v>0</v>
      </c>
      <c r="AA11" s="58">
        <v>0</v>
      </c>
      <c r="AB11" s="58">
        <v>0</v>
      </c>
      <c r="AC11" s="58" t="s">
        <v>366</v>
      </c>
    </row>
    <row r="12" spans="1:29" x14ac:dyDescent="0.25">
      <c r="A12" s="57">
        <v>5</v>
      </c>
      <c r="B12" s="57" t="s">
        <v>309</v>
      </c>
      <c r="C12" s="57"/>
      <c r="D12" s="58">
        <v>9</v>
      </c>
      <c r="E12" s="58">
        <v>8</v>
      </c>
      <c r="F12" s="58">
        <v>0</v>
      </c>
      <c r="G12" s="58">
        <v>0</v>
      </c>
      <c r="H12" s="58">
        <v>0</v>
      </c>
      <c r="I12" s="58">
        <v>0</v>
      </c>
      <c r="J12" s="58">
        <v>0</v>
      </c>
      <c r="K12" s="58">
        <v>0</v>
      </c>
      <c r="L12" s="58">
        <v>0</v>
      </c>
      <c r="M12" s="58">
        <v>0</v>
      </c>
      <c r="N12" s="58">
        <v>0</v>
      </c>
      <c r="O12" s="58">
        <v>0</v>
      </c>
      <c r="P12" s="58">
        <v>0</v>
      </c>
      <c r="Q12" s="58">
        <v>0</v>
      </c>
      <c r="R12" s="58">
        <v>0</v>
      </c>
      <c r="S12" s="58">
        <v>0</v>
      </c>
      <c r="T12" s="58">
        <v>0</v>
      </c>
      <c r="U12" s="58">
        <v>0</v>
      </c>
      <c r="V12" s="58">
        <v>0</v>
      </c>
      <c r="W12" s="58">
        <v>0</v>
      </c>
      <c r="X12" s="58">
        <v>0</v>
      </c>
      <c r="Y12" s="58">
        <v>0</v>
      </c>
      <c r="Z12" s="58">
        <v>0</v>
      </c>
      <c r="AA12" s="58">
        <v>0</v>
      </c>
      <c r="AB12" s="58">
        <v>0</v>
      </c>
      <c r="AC12" s="58" t="s">
        <v>366</v>
      </c>
    </row>
    <row r="13" spans="1:29" x14ac:dyDescent="0.25">
      <c r="A13" s="57">
        <v>6</v>
      </c>
      <c r="B13" s="57" t="s">
        <v>340</v>
      </c>
      <c r="C13" s="57"/>
      <c r="D13" s="58">
        <v>1.5</v>
      </c>
      <c r="E13" s="58">
        <v>2</v>
      </c>
      <c r="F13" s="58">
        <v>0</v>
      </c>
      <c r="G13" s="58">
        <v>0</v>
      </c>
      <c r="H13" s="58">
        <v>0</v>
      </c>
      <c r="I13" s="58">
        <v>0</v>
      </c>
      <c r="J13" s="58">
        <v>0</v>
      </c>
      <c r="K13" s="58">
        <v>0</v>
      </c>
      <c r="L13" s="58">
        <v>0</v>
      </c>
      <c r="M13" s="58">
        <v>0</v>
      </c>
      <c r="N13" s="58">
        <v>0</v>
      </c>
      <c r="O13" s="58">
        <v>0</v>
      </c>
      <c r="P13" s="58">
        <v>0</v>
      </c>
      <c r="Q13" s="58">
        <v>0</v>
      </c>
      <c r="R13" s="58">
        <v>0</v>
      </c>
      <c r="S13" s="58">
        <v>0</v>
      </c>
      <c r="T13" s="58">
        <v>0</v>
      </c>
      <c r="U13" s="58">
        <v>0</v>
      </c>
      <c r="V13" s="58">
        <v>0</v>
      </c>
      <c r="W13" s="58">
        <v>0</v>
      </c>
      <c r="X13" s="58">
        <v>0</v>
      </c>
      <c r="Y13" s="58">
        <v>0</v>
      </c>
      <c r="Z13" s="58">
        <v>0</v>
      </c>
      <c r="AA13" s="58">
        <v>0</v>
      </c>
      <c r="AB13" s="58">
        <v>0</v>
      </c>
      <c r="AC13" s="58" t="s">
        <v>366</v>
      </c>
    </row>
    <row r="14" spans="1:29" x14ac:dyDescent="0.25">
      <c r="A14" s="57">
        <v>7</v>
      </c>
      <c r="B14" s="57" t="s">
        <v>341</v>
      </c>
      <c r="C14" s="57"/>
      <c r="D14" s="58">
        <v>1.5</v>
      </c>
      <c r="E14" s="58">
        <v>2.5</v>
      </c>
      <c r="F14" s="58">
        <v>0</v>
      </c>
      <c r="G14" s="58">
        <v>0</v>
      </c>
      <c r="H14" s="58">
        <v>0</v>
      </c>
      <c r="I14" s="58">
        <v>0</v>
      </c>
      <c r="J14" s="58">
        <v>0</v>
      </c>
      <c r="K14" s="58">
        <v>0</v>
      </c>
      <c r="L14" s="58">
        <v>0</v>
      </c>
      <c r="M14" s="58">
        <v>0</v>
      </c>
      <c r="N14" s="58">
        <v>0</v>
      </c>
      <c r="O14" s="58">
        <v>0</v>
      </c>
      <c r="P14" s="58">
        <v>0</v>
      </c>
      <c r="Q14" s="58">
        <v>0</v>
      </c>
      <c r="R14" s="58">
        <v>0</v>
      </c>
      <c r="S14" s="58">
        <v>0</v>
      </c>
      <c r="T14" s="58">
        <v>0</v>
      </c>
      <c r="U14" s="58">
        <v>0</v>
      </c>
      <c r="V14" s="58">
        <v>0</v>
      </c>
      <c r="W14" s="58">
        <v>0</v>
      </c>
      <c r="X14" s="58">
        <v>0</v>
      </c>
      <c r="Y14" s="58">
        <v>0</v>
      </c>
      <c r="Z14" s="58">
        <v>0</v>
      </c>
      <c r="AA14" s="58">
        <v>0</v>
      </c>
      <c r="AB14" s="58">
        <v>0</v>
      </c>
      <c r="AC14" s="58" t="s">
        <v>366</v>
      </c>
    </row>
    <row r="15" spans="1:29" x14ac:dyDescent="0.25">
      <c r="A15" s="57">
        <v>8</v>
      </c>
      <c r="B15" s="57" t="s">
        <v>342</v>
      </c>
      <c r="C15" s="57"/>
      <c r="D15" s="58">
        <v>1.5</v>
      </c>
      <c r="E15" s="58">
        <v>2</v>
      </c>
      <c r="F15" s="58">
        <v>0</v>
      </c>
      <c r="G15" s="58">
        <v>0</v>
      </c>
      <c r="H15" s="58">
        <v>0</v>
      </c>
      <c r="I15" s="58">
        <v>0</v>
      </c>
      <c r="J15" s="58">
        <v>0</v>
      </c>
      <c r="K15" s="58">
        <v>0</v>
      </c>
      <c r="L15" s="58">
        <v>0</v>
      </c>
      <c r="M15" s="58">
        <v>0</v>
      </c>
      <c r="N15" s="58">
        <v>0</v>
      </c>
      <c r="O15" s="58">
        <v>0</v>
      </c>
      <c r="P15" s="58">
        <v>0</v>
      </c>
      <c r="Q15" s="58">
        <v>0</v>
      </c>
      <c r="R15" s="58">
        <v>0</v>
      </c>
      <c r="S15" s="58">
        <v>0</v>
      </c>
      <c r="T15" s="58">
        <v>0</v>
      </c>
      <c r="U15" s="58">
        <v>0</v>
      </c>
      <c r="V15" s="58">
        <v>0</v>
      </c>
      <c r="W15" s="58">
        <v>0</v>
      </c>
      <c r="X15" s="58">
        <v>0</v>
      </c>
      <c r="Y15" s="58">
        <v>0</v>
      </c>
      <c r="Z15" s="58">
        <v>0</v>
      </c>
      <c r="AA15" s="58">
        <v>0</v>
      </c>
      <c r="AB15" s="58">
        <v>0</v>
      </c>
      <c r="AC15" s="58" t="s">
        <v>366</v>
      </c>
    </row>
    <row r="16" spans="1:29" x14ac:dyDescent="0.25">
      <c r="A16" s="57">
        <v>9</v>
      </c>
      <c r="B16" s="57" t="s">
        <v>343</v>
      </c>
      <c r="C16" s="57"/>
      <c r="D16" s="58">
        <v>1.5</v>
      </c>
      <c r="E16" s="58">
        <v>2</v>
      </c>
      <c r="F16" s="58">
        <v>0</v>
      </c>
      <c r="G16" s="58">
        <v>0</v>
      </c>
      <c r="H16" s="58">
        <v>0</v>
      </c>
      <c r="I16" s="58">
        <v>0</v>
      </c>
      <c r="J16" s="58">
        <v>0</v>
      </c>
      <c r="K16" s="58">
        <v>0</v>
      </c>
      <c r="L16" s="58">
        <v>0</v>
      </c>
      <c r="M16" s="58">
        <v>0</v>
      </c>
      <c r="N16" s="58">
        <v>0</v>
      </c>
      <c r="O16" s="58">
        <v>0</v>
      </c>
      <c r="P16" s="58">
        <v>0</v>
      </c>
      <c r="Q16" s="58">
        <v>0</v>
      </c>
      <c r="R16" s="58">
        <v>0</v>
      </c>
      <c r="S16" s="58">
        <v>0</v>
      </c>
      <c r="T16" s="58">
        <v>0</v>
      </c>
      <c r="U16" s="58">
        <v>0</v>
      </c>
      <c r="V16" s="58">
        <v>0</v>
      </c>
      <c r="W16" s="58">
        <v>0</v>
      </c>
      <c r="X16" s="58">
        <v>0</v>
      </c>
      <c r="Y16" s="58">
        <v>0</v>
      </c>
      <c r="Z16" s="58">
        <v>0</v>
      </c>
      <c r="AA16" s="58">
        <v>0</v>
      </c>
      <c r="AB16" s="58">
        <v>0</v>
      </c>
      <c r="AC16" s="58" t="s">
        <v>366</v>
      </c>
    </row>
    <row r="17" spans="1:29" x14ac:dyDescent="0.25">
      <c r="A17" s="57">
        <v>10</v>
      </c>
      <c r="B17" s="57" t="s">
        <v>344</v>
      </c>
      <c r="C17" s="57"/>
      <c r="D17" s="58">
        <v>1.5</v>
      </c>
      <c r="E17" s="58">
        <v>2</v>
      </c>
      <c r="F17" s="58">
        <v>0</v>
      </c>
      <c r="G17" s="58">
        <v>0</v>
      </c>
      <c r="H17" s="58">
        <v>0</v>
      </c>
      <c r="I17" s="58">
        <v>0</v>
      </c>
      <c r="J17" s="58">
        <v>0</v>
      </c>
      <c r="K17" s="58">
        <v>0</v>
      </c>
      <c r="L17" s="58">
        <v>0</v>
      </c>
      <c r="M17" s="58">
        <v>0</v>
      </c>
      <c r="N17" s="58">
        <v>0</v>
      </c>
      <c r="O17" s="58">
        <v>0</v>
      </c>
      <c r="P17" s="58">
        <v>0</v>
      </c>
      <c r="Q17" s="58">
        <v>0</v>
      </c>
      <c r="R17" s="58">
        <v>0</v>
      </c>
      <c r="S17" s="58">
        <v>0</v>
      </c>
      <c r="T17" s="58">
        <v>0</v>
      </c>
      <c r="U17" s="58">
        <v>0</v>
      </c>
      <c r="V17" s="58">
        <v>0</v>
      </c>
      <c r="W17" s="58">
        <v>0</v>
      </c>
      <c r="X17" s="58">
        <v>0</v>
      </c>
      <c r="Y17" s="58">
        <v>0</v>
      </c>
      <c r="Z17" s="58">
        <v>0</v>
      </c>
      <c r="AA17" s="58">
        <v>0</v>
      </c>
      <c r="AB17" s="58">
        <v>0</v>
      </c>
      <c r="AC17" s="58" t="s">
        <v>366</v>
      </c>
    </row>
    <row r="18" spans="1:29" x14ac:dyDescent="0.25">
      <c r="A18" s="57">
        <v>11</v>
      </c>
      <c r="B18" s="57" t="s">
        <v>345</v>
      </c>
      <c r="C18" s="57"/>
      <c r="D18" s="58">
        <v>1.5</v>
      </c>
      <c r="E18" s="58">
        <v>2</v>
      </c>
      <c r="F18" s="58">
        <v>0</v>
      </c>
      <c r="G18" s="58">
        <v>0</v>
      </c>
      <c r="H18" s="58">
        <v>0</v>
      </c>
      <c r="I18" s="58">
        <v>0</v>
      </c>
      <c r="J18" s="58">
        <v>0</v>
      </c>
      <c r="K18" s="58">
        <v>0</v>
      </c>
      <c r="L18" s="58">
        <v>0</v>
      </c>
      <c r="M18" s="58">
        <v>0</v>
      </c>
      <c r="N18" s="58">
        <v>0</v>
      </c>
      <c r="O18" s="58">
        <v>0</v>
      </c>
      <c r="P18" s="58">
        <v>0</v>
      </c>
      <c r="Q18" s="58">
        <v>0</v>
      </c>
      <c r="R18" s="58">
        <v>0</v>
      </c>
      <c r="S18" s="58">
        <v>0</v>
      </c>
      <c r="T18" s="58">
        <v>0</v>
      </c>
      <c r="U18" s="58">
        <v>0</v>
      </c>
      <c r="V18" s="58">
        <v>0</v>
      </c>
      <c r="W18" s="58">
        <v>0</v>
      </c>
      <c r="X18" s="58">
        <v>0</v>
      </c>
      <c r="Y18" s="58">
        <v>0</v>
      </c>
      <c r="Z18" s="58">
        <v>0</v>
      </c>
      <c r="AA18" s="58">
        <v>0</v>
      </c>
      <c r="AB18" s="58">
        <v>0</v>
      </c>
      <c r="AC18" s="58" t="s">
        <v>366</v>
      </c>
    </row>
    <row r="19" spans="1:29" x14ac:dyDescent="0.25">
      <c r="A19" s="57">
        <v>12</v>
      </c>
      <c r="B19" s="57" t="s">
        <v>345</v>
      </c>
      <c r="C19" s="57"/>
      <c r="D19" s="58">
        <v>1.5</v>
      </c>
      <c r="E19" s="58">
        <v>2</v>
      </c>
      <c r="F19" s="58">
        <v>0</v>
      </c>
      <c r="G19" s="58">
        <v>0</v>
      </c>
      <c r="H19" s="58">
        <v>0</v>
      </c>
      <c r="I19" s="58">
        <v>0</v>
      </c>
      <c r="J19" s="58">
        <v>0</v>
      </c>
      <c r="K19" s="58">
        <v>0</v>
      </c>
      <c r="L19" s="58">
        <v>0</v>
      </c>
      <c r="M19" s="58">
        <v>0</v>
      </c>
      <c r="N19" s="58">
        <v>0</v>
      </c>
      <c r="O19" s="58">
        <v>0</v>
      </c>
      <c r="P19" s="58">
        <v>0</v>
      </c>
      <c r="Q19" s="58">
        <v>0</v>
      </c>
      <c r="R19" s="58">
        <v>0</v>
      </c>
      <c r="S19" s="58">
        <v>0</v>
      </c>
      <c r="T19" s="58">
        <v>0</v>
      </c>
      <c r="U19" s="58">
        <v>0</v>
      </c>
      <c r="V19" s="58">
        <v>0</v>
      </c>
      <c r="W19" s="58">
        <v>0</v>
      </c>
      <c r="X19" s="58">
        <v>0</v>
      </c>
      <c r="Y19" s="58">
        <v>0</v>
      </c>
      <c r="Z19" s="58">
        <v>0</v>
      </c>
      <c r="AA19" s="58">
        <v>0</v>
      </c>
      <c r="AB19" s="58">
        <v>0</v>
      </c>
      <c r="AC19" s="58" t="s">
        <v>366</v>
      </c>
    </row>
    <row r="20" spans="1:29" x14ac:dyDescent="0.25">
      <c r="A20" s="57">
        <v>13</v>
      </c>
      <c r="B20" s="57" t="s">
        <v>346</v>
      </c>
      <c r="C20" s="57"/>
      <c r="D20" s="58">
        <v>1.5</v>
      </c>
      <c r="E20" s="58">
        <v>2</v>
      </c>
      <c r="F20" s="58">
        <v>0</v>
      </c>
      <c r="G20" s="58">
        <v>0</v>
      </c>
      <c r="H20" s="58">
        <v>0</v>
      </c>
      <c r="I20" s="58">
        <v>0</v>
      </c>
      <c r="J20" s="58">
        <v>0</v>
      </c>
      <c r="K20" s="58">
        <v>0</v>
      </c>
      <c r="L20" s="58">
        <v>0</v>
      </c>
      <c r="M20" s="58">
        <v>0</v>
      </c>
      <c r="N20" s="58">
        <v>0</v>
      </c>
      <c r="O20" s="58">
        <v>0</v>
      </c>
      <c r="P20" s="58">
        <v>0</v>
      </c>
      <c r="Q20" s="58">
        <v>0</v>
      </c>
      <c r="R20" s="58">
        <v>0</v>
      </c>
      <c r="S20" s="58">
        <v>0</v>
      </c>
      <c r="T20" s="58">
        <v>0</v>
      </c>
      <c r="U20" s="58">
        <v>0</v>
      </c>
      <c r="V20" s="58">
        <v>0</v>
      </c>
      <c r="W20" s="58">
        <v>0</v>
      </c>
      <c r="X20" s="58">
        <v>0</v>
      </c>
      <c r="Y20" s="58">
        <v>0</v>
      </c>
      <c r="Z20" s="58">
        <v>0</v>
      </c>
      <c r="AA20" s="58">
        <v>0</v>
      </c>
      <c r="AB20" s="58">
        <v>0</v>
      </c>
      <c r="AC20" s="58" t="s">
        <v>366</v>
      </c>
    </row>
    <row r="21" spans="1:29" x14ac:dyDescent="0.25">
      <c r="A21" s="57">
        <v>14</v>
      </c>
      <c r="B21" s="57" t="s">
        <v>347</v>
      </c>
      <c r="C21" s="57"/>
      <c r="D21" s="58">
        <v>15</v>
      </c>
      <c r="E21" s="58">
        <v>8</v>
      </c>
      <c r="F21" s="58">
        <v>0</v>
      </c>
      <c r="G21" s="58">
        <v>0</v>
      </c>
      <c r="H21" s="58">
        <v>0</v>
      </c>
      <c r="I21" s="58">
        <v>0</v>
      </c>
      <c r="J21" s="58">
        <v>0</v>
      </c>
      <c r="K21" s="58">
        <v>0</v>
      </c>
      <c r="L21" s="58">
        <v>0</v>
      </c>
      <c r="M21" s="58">
        <v>0</v>
      </c>
      <c r="N21" s="58">
        <v>0</v>
      </c>
      <c r="O21" s="58">
        <v>0</v>
      </c>
      <c r="P21" s="58">
        <v>0</v>
      </c>
      <c r="Q21" s="58">
        <v>0</v>
      </c>
      <c r="R21" s="58">
        <v>0</v>
      </c>
      <c r="S21" s="58">
        <v>0</v>
      </c>
      <c r="T21" s="58">
        <v>0</v>
      </c>
      <c r="U21" s="58">
        <v>0</v>
      </c>
      <c r="V21" s="58">
        <v>0</v>
      </c>
      <c r="W21" s="58">
        <v>0</v>
      </c>
      <c r="X21" s="58">
        <v>0</v>
      </c>
      <c r="Y21" s="58">
        <v>0</v>
      </c>
      <c r="Z21" s="58">
        <v>0</v>
      </c>
      <c r="AA21" s="58">
        <v>0</v>
      </c>
      <c r="AB21" s="58">
        <v>0</v>
      </c>
      <c r="AC21" s="58" t="s">
        <v>366</v>
      </c>
    </row>
    <row r="22" spans="1:29" x14ac:dyDescent="0.25">
      <c r="A22" s="57">
        <v>15</v>
      </c>
      <c r="B22" s="57" t="s">
        <v>348</v>
      </c>
      <c r="C22" s="57"/>
      <c r="D22" s="58">
        <v>15</v>
      </c>
      <c r="E22" s="58">
        <v>8</v>
      </c>
      <c r="F22" s="58">
        <v>0</v>
      </c>
      <c r="G22" s="58">
        <v>0</v>
      </c>
      <c r="H22" s="58">
        <v>0</v>
      </c>
      <c r="I22" s="58">
        <v>0</v>
      </c>
      <c r="J22" s="58">
        <v>0</v>
      </c>
      <c r="K22" s="58">
        <v>0</v>
      </c>
      <c r="L22" s="58">
        <v>0</v>
      </c>
      <c r="M22" s="58">
        <v>0</v>
      </c>
      <c r="N22" s="58">
        <v>0</v>
      </c>
      <c r="O22" s="58">
        <v>0</v>
      </c>
      <c r="P22" s="58">
        <v>0</v>
      </c>
      <c r="Q22" s="58">
        <v>0</v>
      </c>
      <c r="R22" s="58">
        <v>0</v>
      </c>
      <c r="S22" s="58">
        <v>0</v>
      </c>
      <c r="T22" s="58">
        <v>0</v>
      </c>
      <c r="U22" s="58">
        <v>0</v>
      </c>
      <c r="V22" s="58">
        <v>0</v>
      </c>
      <c r="W22" s="58">
        <v>0</v>
      </c>
      <c r="X22" s="58">
        <v>0</v>
      </c>
      <c r="Y22" s="58">
        <v>0</v>
      </c>
      <c r="Z22" s="58">
        <v>0</v>
      </c>
      <c r="AA22" s="58">
        <v>0</v>
      </c>
      <c r="AB22" s="58">
        <v>0</v>
      </c>
      <c r="AC22" s="58" t="s">
        <v>366</v>
      </c>
    </row>
    <row r="23" spans="1:29" x14ac:dyDescent="0.25">
      <c r="A23" s="57">
        <v>16</v>
      </c>
      <c r="B23" s="57" t="s">
        <v>349</v>
      </c>
      <c r="C23" s="57"/>
      <c r="D23" s="58">
        <v>9</v>
      </c>
      <c r="E23" s="58">
        <v>8</v>
      </c>
      <c r="F23" s="58">
        <v>0</v>
      </c>
      <c r="G23" s="58">
        <v>0</v>
      </c>
      <c r="H23" s="58">
        <v>0</v>
      </c>
      <c r="I23" s="58">
        <v>0</v>
      </c>
      <c r="J23" s="58">
        <v>0</v>
      </c>
      <c r="K23" s="58">
        <v>0</v>
      </c>
      <c r="L23" s="58">
        <v>0</v>
      </c>
      <c r="M23" s="58">
        <v>0</v>
      </c>
      <c r="N23" s="58">
        <v>0</v>
      </c>
      <c r="O23" s="58">
        <v>0</v>
      </c>
      <c r="P23" s="58">
        <v>0</v>
      </c>
      <c r="Q23" s="58">
        <v>0</v>
      </c>
      <c r="R23" s="58">
        <v>0</v>
      </c>
      <c r="S23" s="58">
        <v>0</v>
      </c>
      <c r="T23" s="58">
        <v>0</v>
      </c>
      <c r="U23" s="58">
        <v>0</v>
      </c>
      <c r="V23" s="58">
        <v>0</v>
      </c>
      <c r="W23" s="58">
        <v>0</v>
      </c>
      <c r="X23" s="58">
        <v>0</v>
      </c>
      <c r="Y23" s="58">
        <v>0</v>
      </c>
      <c r="Z23" s="58">
        <v>0</v>
      </c>
      <c r="AA23" s="58">
        <v>0</v>
      </c>
      <c r="AB23" s="58">
        <v>0</v>
      </c>
      <c r="AC23" s="58" t="s">
        <v>366</v>
      </c>
    </row>
    <row r="24" spans="1:29" x14ac:dyDescent="0.25">
      <c r="A24" s="57">
        <v>17</v>
      </c>
      <c r="B24" s="57" t="s">
        <v>350</v>
      </c>
      <c r="C24" s="57"/>
      <c r="D24" s="58">
        <v>200</v>
      </c>
      <c r="E24" s="58">
        <v>90</v>
      </c>
      <c r="F24" s="58">
        <v>0</v>
      </c>
      <c r="G24" s="58">
        <v>0</v>
      </c>
      <c r="H24" s="58">
        <v>0</v>
      </c>
      <c r="I24" s="58">
        <v>0</v>
      </c>
      <c r="J24" s="58">
        <v>0</v>
      </c>
      <c r="K24" s="58">
        <v>0</v>
      </c>
      <c r="L24" s="58">
        <v>0</v>
      </c>
      <c r="M24" s="58">
        <v>0</v>
      </c>
      <c r="N24" s="58">
        <v>0</v>
      </c>
      <c r="O24" s="58">
        <v>0</v>
      </c>
      <c r="P24" s="58">
        <v>0</v>
      </c>
      <c r="Q24" s="58">
        <v>0</v>
      </c>
      <c r="R24" s="58">
        <v>0</v>
      </c>
      <c r="S24" s="58">
        <v>0</v>
      </c>
      <c r="T24" s="58">
        <v>0</v>
      </c>
      <c r="U24" s="58">
        <v>0</v>
      </c>
      <c r="V24" s="58">
        <v>0</v>
      </c>
      <c r="W24" s="58">
        <v>0</v>
      </c>
      <c r="X24" s="58">
        <v>0</v>
      </c>
      <c r="Y24" s="58">
        <v>0</v>
      </c>
      <c r="Z24" s="58">
        <v>0</v>
      </c>
      <c r="AA24" s="58">
        <v>0</v>
      </c>
      <c r="AB24" s="58">
        <v>0</v>
      </c>
      <c r="AC24" s="58" t="s">
        <v>366</v>
      </c>
    </row>
    <row r="25" spans="1:29" x14ac:dyDescent="0.25">
      <c r="A25" s="57">
        <v>18</v>
      </c>
      <c r="B25" s="57" t="s">
        <v>351</v>
      </c>
      <c r="C25" s="57"/>
      <c r="D25" s="58">
        <v>18</v>
      </c>
      <c r="E25" s="58">
        <v>9</v>
      </c>
      <c r="F25" s="58">
        <v>0</v>
      </c>
      <c r="G25" s="58">
        <v>0</v>
      </c>
      <c r="H25" s="58">
        <v>0</v>
      </c>
      <c r="I25" s="58">
        <v>0</v>
      </c>
      <c r="J25" s="58">
        <v>0</v>
      </c>
      <c r="K25" s="58">
        <v>0</v>
      </c>
      <c r="L25" s="58">
        <v>0</v>
      </c>
      <c r="M25" s="58">
        <v>0</v>
      </c>
      <c r="N25" s="58">
        <v>0</v>
      </c>
      <c r="O25" s="58">
        <v>0</v>
      </c>
      <c r="P25" s="58">
        <v>0</v>
      </c>
      <c r="Q25" s="58">
        <v>0</v>
      </c>
      <c r="R25" s="58">
        <v>0</v>
      </c>
      <c r="S25" s="58">
        <v>0</v>
      </c>
      <c r="T25" s="58">
        <v>0</v>
      </c>
      <c r="U25" s="58">
        <v>0</v>
      </c>
      <c r="V25" s="58">
        <v>0</v>
      </c>
      <c r="W25" s="58">
        <v>0</v>
      </c>
      <c r="X25" s="58">
        <v>0</v>
      </c>
      <c r="Y25" s="58">
        <v>0</v>
      </c>
      <c r="Z25" s="58">
        <v>0</v>
      </c>
      <c r="AA25" s="58">
        <v>0</v>
      </c>
      <c r="AB25" s="58">
        <v>0</v>
      </c>
      <c r="AC25" s="58" t="s">
        <v>366</v>
      </c>
    </row>
    <row r="26" spans="1:29" x14ac:dyDescent="0.25">
      <c r="A26" s="57">
        <v>19</v>
      </c>
      <c r="B26" s="57" t="s">
        <v>352</v>
      </c>
      <c r="C26" s="57" t="s">
        <v>353</v>
      </c>
      <c r="D26" s="58">
        <v>12</v>
      </c>
      <c r="E26" s="58">
        <v>8</v>
      </c>
      <c r="F26" s="58">
        <v>0</v>
      </c>
      <c r="G26" s="58">
        <v>0</v>
      </c>
      <c r="H26" s="58">
        <v>0</v>
      </c>
      <c r="I26" s="58">
        <v>0</v>
      </c>
      <c r="J26" s="58">
        <v>0</v>
      </c>
      <c r="K26" s="58">
        <v>0</v>
      </c>
      <c r="L26" s="58">
        <v>0</v>
      </c>
      <c r="M26" s="58">
        <v>0</v>
      </c>
      <c r="N26" s="58">
        <v>0</v>
      </c>
      <c r="O26" s="58">
        <v>0</v>
      </c>
      <c r="P26" s="58">
        <v>0</v>
      </c>
      <c r="Q26" s="58">
        <v>0</v>
      </c>
      <c r="R26" s="58">
        <v>0</v>
      </c>
      <c r="S26" s="58">
        <v>0</v>
      </c>
      <c r="T26" s="58">
        <v>0</v>
      </c>
      <c r="U26" s="58">
        <v>0</v>
      </c>
      <c r="V26" s="58">
        <v>0</v>
      </c>
      <c r="W26" s="58">
        <v>0</v>
      </c>
      <c r="X26" s="58">
        <v>0</v>
      </c>
      <c r="Y26" s="58">
        <v>0</v>
      </c>
      <c r="Z26" s="58">
        <v>0</v>
      </c>
      <c r="AA26" s="58">
        <v>0</v>
      </c>
      <c r="AB26" s="58">
        <v>0</v>
      </c>
      <c r="AC26" s="58" t="s">
        <v>366</v>
      </c>
    </row>
    <row r="27" spans="1:29" x14ac:dyDescent="0.25">
      <c r="A27" s="57">
        <v>20</v>
      </c>
      <c r="B27" s="57" t="s">
        <v>354</v>
      </c>
      <c r="C27" s="57"/>
      <c r="D27" s="58">
        <v>18</v>
      </c>
      <c r="E27" s="58">
        <v>8</v>
      </c>
      <c r="F27" s="58">
        <v>0</v>
      </c>
      <c r="G27" s="58">
        <v>0</v>
      </c>
      <c r="H27" s="58">
        <v>0</v>
      </c>
      <c r="I27" s="58">
        <v>0</v>
      </c>
      <c r="J27" s="58">
        <v>0</v>
      </c>
      <c r="K27" s="58">
        <v>0</v>
      </c>
      <c r="L27" s="58">
        <v>0</v>
      </c>
      <c r="M27" s="58">
        <v>0</v>
      </c>
      <c r="N27" s="58">
        <v>0</v>
      </c>
      <c r="O27" s="58">
        <v>0</v>
      </c>
      <c r="P27" s="58">
        <v>0</v>
      </c>
      <c r="Q27" s="58">
        <v>0</v>
      </c>
      <c r="R27" s="58">
        <v>0</v>
      </c>
      <c r="S27" s="58">
        <v>0</v>
      </c>
      <c r="T27" s="58">
        <v>0</v>
      </c>
      <c r="U27" s="58">
        <v>0</v>
      </c>
      <c r="V27" s="58">
        <v>0</v>
      </c>
      <c r="W27" s="58">
        <v>0</v>
      </c>
      <c r="X27" s="58">
        <v>0</v>
      </c>
      <c r="Y27" s="58">
        <v>0</v>
      </c>
      <c r="Z27" s="58">
        <v>0</v>
      </c>
      <c r="AA27" s="58">
        <v>0</v>
      </c>
      <c r="AB27" s="58">
        <v>0</v>
      </c>
      <c r="AC27" s="58" t="s">
        <v>366</v>
      </c>
    </row>
    <row r="28" spans="1:29" x14ac:dyDescent="0.25">
      <c r="A28" s="57">
        <v>21</v>
      </c>
      <c r="B28" s="57" t="s">
        <v>355</v>
      </c>
      <c r="C28" s="57"/>
      <c r="D28" s="58">
        <v>9</v>
      </c>
      <c r="E28" s="58">
        <v>8</v>
      </c>
      <c r="F28" s="58">
        <v>0</v>
      </c>
      <c r="G28" s="58">
        <v>0</v>
      </c>
      <c r="H28" s="58">
        <v>0</v>
      </c>
      <c r="I28" s="58">
        <v>0</v>
      </c>
      <c r="J28" s="58">
        <v>0</v>
      </c>
      <c r="K28" s="58">
        <v>0</v>
      </c>
      <c r="L28" s="58">
        <v>0</v>
      </c>
      <c r="M28" s="58">
        <v>0</v>
      </c>
      <c r="N28" s="58">
        <v>0</v>
      </c>
      <c r="O28" s="58">
        <v>0</v>
      </c>
      <c r="P28" s="58">
        <v>0</v>
      </c>
      <c r="Q28" s="58">
        <v>0</v>
      </c>
      <c r="R28" s="58">
        <v>0</v>
      </c>
      <c r="S28" s="58">
        <v>0</v>
      </c>
      <c r="T28" s="58">
        <v>0</v>
      </c>
      <c r="U28" s="58">
        <v>0</v>
      </c>
      <c r="V28" s="58">
        <v>0</v>
      </c>
      <c r="W28" s="58">
        <v>0</v>
      </c>
      <c r="X28" s="58">
        <v>0</v>
      </c>
      <c r="Y28" s="58">
        <v>0</v>
      </c>
      <c r="Z28" s="58">
        <v>0</v>
      </c>
      <c r="AA28" s="58">
        <v>0</v>
      </c>
      <c r="AB28" s="58">
        <v>0</v>
      </c>
      <c r="AC28" s="58" t="s">
        <v>366</v>
      </c>
    </row>
    <row r="29" spans="1:29" x14ac:dyDescent="0.25">
      <c r="A29" s="57">
        <v>22</v>
      </c>
      <c r="B29" s="57" t="s">
        <v>356</v>
      </c>
      <c r="C29" s="57"/>
      <c r="D29" s="58">
        <v>9</v>
      </c>
      <c r="E29" s="58">
        <v>8</v>
      </c>
      <c r="F29" s="58">
        <v>0</v>
      </c>
      <c r="G29" s="58">
        <v>0</v>
      </c>
      <c r="H29" s="58">
        <v>0</v>
      </c>
      <c r="I29" s="58">
        <v>0</v>
      </c>
      <c r="J29" s="58">
        <v>0</v>
      </c>
      <c r="K29" s="58">
        <v>0</v>
      </c>
      <c r="L29" s="58">
        <v>0</v>
      </c>
      <c r="M29" s="58">
        <v>0</v>
      </c>
      <c r="N29" s="58">
        <v>0</v>
      </c>
      <c r="O29" s="58">
        <v>0</v>
      </c>
      <c r="P29" s="58">
        <v>0</v>
      </c>
      <c r="Q29" s="58">
        <v>0</v>
      </c>
      <c r="R29" s="58">
        <v>0</v>
      </c>
      <c r="S29" s="58">
        <v>0</v>
      </c>
      <c r="T29" s="58">
        <v>0</v>
      </c>
      <c r="U29" s="58">
        <v>0</v>
      </c>
      <c r="V29" s="58">
        <v>0</v>
      </c>
      <c r="W29" s="58">
        <v>0</v>
      </c>
      <c r="X29" s="58">
        <v>0</v>
      </c>
      <c r="Y29" s="58">
        <v>0</v>
      </c>
      <c r="Z29" s="58">
        <v>0</v>
      </c>
      <c r="AA29" s="58">
        <v>0</v>
      </c>
      <c r="AB29" s="58">
        <v>0</v>
      </c>
      <c r="AC29" s="58" t="s">
        <v>366</v>
      </c>
    </row>
    <row r="30" spans="1:29" x14ac:dyDescent="0.25">
      <c r="A30" s="57">
        <v>23</v>
      </c>
      <c r="B30" s="57" t="s">
        <v>357</v>
      </c>
      <c r="C30" s="57"/>
      <c r="D30" s="58">
        <v>3</v>
      </c>
      <c r="E30" s="58">
        <v>2.5</v>
      </c>
      <c r="F30" s="58">
        <v>0</v>
      </c>
      <c r="G30" s="58">
        <v>0</v>
      </c>
      <c r="H30" s="58">
        <v>0</v>
      </c>
      <c r="I30" s="58">
        <v>0</v>
      </c>
      <c r="J30" s="58">
        <v>0</v>
      </c>
      <c r="K30" s="58">
        <v>0</v>
      </c>
      <c r="L30" s="58">
        <v>0</v>
      </c>
      <c r="M30" s="58">
        <v>0</v>
      </c>
      <c r="N30" s="58">
        <v>0</v>
      </c>
      <c r="O30" s="58">
        <v>0</v>
      </c>
      <c r="P30" s="58">
        <v>0</v>
      </c>
      <c r="Q30" s="58">
        <v>0</v>
      </c>
      <c r="R30" s="58">
        <v>0</v>
      </c>
      <c r="S30" s="58">
        <v>0</v>
      </c>
      <c r="T30" s="58">
        <v>0</v>
      </c>
      <c r="U30" s="58">
        <v>0</v>
      </c>
      <c r="V30" s="58">
        <v>0</v>
      </c>
      <c r="W30" s="58">
        <v>0</v>
      </c>
      <c r="X30" s="58">
        <v>0</v>
      </c>
      <c r="Y30" s="58">
        <v>0</v>
      </c>
      <c r="Z30" s="58">
        <v>0</v>
      </c>
      <c r="AA30" s="58">
        <v>0</v>
      </c>
      <c r="AB30" s="58">
        <v>0</v>
      </c>
      <c r="AC30" s="58" t="s">
        <v>366</v>
      </c>
    </row>
  </sheetData>
  <sheetProtection formatCells="0" formatColumns="0" formatRows="0" insertColumns="0" insertRows="0" insertHyperlinks="0" deleteColumns="0" deleteRows="0" sort="0" autoFilter="0" pivotTables="0"/>
  <mergeCells count="8">
    <mergeCell ref="AC6:AC7"/>
    <mergeCell ref="D6:D7"/>
    <mergeCell ref="B6:B7"/>
    <mergeCell ref="A6:A7"/>
    <mergeCell ref="C6:C7"/>
    <mergeCell ref="E6:E7"/>
    <mergeCell ref="F6:AA6"/>
    <mergeCell ref="AB6:AB7"/>
  </mergeCells>
  <pageMargins left="0.78740157480314965" right="0.59055118110236227" top="0.59055118110236227" bottom="0.59055118110236227"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57"/>
  <sheetViews>
    <sheetView tabSelected="1" workbookViewId="0">
      <pane ySplit="6" topLeftCell="A7" activePane="bottomLeft" state="frozen"/>
      <selection pane="bottomLeft" activeCell="I6" sqref="I6"/>
    </sheetView>
  </sheetViews>
  <sheetFormatPr defaultColWidth="8.85546875" defaultRowHeight="15" x14ac:dyDescent="0.25"/>
  <cols>
    <col min="1" max="1" width="6.7109375" customWidth="1"/>
    <col min="2" max="2" width="30.7109375" bestFit="1" customWidth="1"/>
    <col min="3" max="3" width="28" bestFit="1" customWidth="1"/>
    <col min="4" max="4" width="12.140625" style="1" bestFit="1" customWidth="1"/>
    <col min="5" max="5" width="67.5703125" customWidth="1"/>
    <col min="6" max="6" width="7.28515625" style="1" bestFit="1" customWidth="1"/>
    <col min="7" max="7" width="6.42578125" style="1" bestFit="1" customWidth="1"/>
  </cols>
  <sheetData>
    <row r="1" spans="1:7" ht="21" customHeight="1" x14ac:dyDescent="0.35">
      <c r="A1" s="26" t="s">
        <v>358</v>
      </c>
      <c r="B1" s="24"/>
      <c r="C1" s="24"/>
      <c r="D1" s="25"/>
      <c r="E1" s="24"/>
      <c r="F1" s="25"/>
      <c r="G1" s="25"/>
    </row>
    <row r="2" spans="1:7" ht="18.95" customHeight="1" x14ac:dyDescent="0.3">
      <c r="A2" s="27" t="s">
        <v>4</v>
      </c>
      <c r="B2" s="24"/>
      <c r="C2" s="24"/>
      <c r="D2" s="25"/>
      <c r="E2" s="24"/>
      <c r="F2" s="25"/>
      <c r="G2" s="25"/>
    </row>
    <row r="3" spans="1:7" x14ac:dyDescent="0.25">
      <c r="A3" s="24" t="s">
        <v>104</v>
      </c>
      <c r="B3" s="24"/>
      <c r="C3" s="24"/>
      <c r="D3" s="25"/>
      <c r="E3" s="24"/>
      <c r="F3" s="25"/>
      <c r="G3" s="25"/>
    </row>
    <row r="4" spans="1:7" x14ac:dyDescent="0.25">
      <c r="A4" s="24" t="s">
        <v>105</v>
      </c>
      <c r="B4" s="24"/>
      <c r="C4" s="33" t="s">
        <v>106</v>
      </c>
      <c r="E4" s="24"/>
      <c r="F4" s="25"/>
      <c r="G4" s="25"/>
    </row>
    <row r="6" spans="1:7" s="30" customFormat="1" ht="30" customHeight="1" x14ac:dyDescent="0.25">
      <c r="A6" s="60" t="s">
        <v>107</v>
      </c>
      <c r="B6" s="60" t="s">
        <v>359</v>
      </c>
      <c r="C6" s="60" t="s">
        <v>360</v>
      </c>
      <c r="D6" s="60" t="s">
        <v>361</v>
      </c>
      <c r="E6" s="60" t="s">
        <v>362</v>
      </c>
      <c r="F6" s="60" t="s">
        <v>363</v>
      </c>
      <c r="G6" s="60" t="s">
        <v>364</v>
      </c>
    </row>
    <row r="7" spans="1:7" ht="15" customHeight="1" x14ac:dyDescent="0.25">
      <c r="A7" s="57">
        <v>1</v>
      </c>
      <c r="B7" s="57" t="s">
        <v>365</v>
      </c>
      <c r="C7" s="57" t="s">
        <v>298</v>
      </c>
      <c r="D7" s="58" t="s">
        <v>366</v>
      </c>
      <c r="E7" s="61" t="s">
        <v>367</v>
      </c>
      <c r="F7" s="58">
        <v>36</v>
      </c>
      <c r="G7" s="58" t="s">
        <v>368</v>
      </c>
    </row>
    <row r="8" spans="1:7" x14ac:dyDescent="0.25">
      <c r="A8" s="57">
        <v>2</v>
      </c>
      <c r="B8" s="57" t="s">
        <v>369</v>
      </c>
      <c r="C8" s="57" t="s">
        <v>298</v>
      </c>
      <c r="D8" s="58" t="s">
        <v>366</v>
      </c>
      <c r="E8" s="61" t="s">
        <v>370</v>
      </c>
      <c r="F8" s="58">
        <v>36</v>
      </c>
      <c r="G8" s="58" t="s">
        <v>368</v>
      </c>
    </row>
    <row r="9" spans="1:7" x14ac:dyDescent="0.25">
      <c r="A9" s="57">
        <v>3</v>
      </c>
      <c r="B9" s="57" t="s">
        <v>371</v>
      </c>
      <c r="C9" s="57" t="s">
        <v>298</v>
      </c>
      <c r="D9" s="58" t="s">
        <v>366</v>
      </c>
      <c r="E9" s="61" t="s">
        <v>372</v>
      </c>
      <c r="F9" s="58">
        <v>1</v>
      </c>
      <c r="G9" s="58" t="s">
        <v>368</v>
      </c>
    </row>
    <row r="10" spans="1:7" x14ac:dyDescent="0.25">
      <c r="A10" s="57">
        <v>4</v>
      </c>
      <c r="B10" s="57" t="s">
        <v>373</v>
      </c>
      <c r="C10" s="57" t="s">
        <v>298</v>
      </c>
      <c r="D10" s="58" t="s">
        <v>366</v>
      </c>
      <c r="E10" s="61" t="s">
        <v>374</v>
      </c>
      <c r="F10" s="58">
        <v>1</v>
      </c>
      <c r="G10" s="58" t="s">
        <v>368</v>
      </c>
    </row>
    <row r="11" spans="1:7" x14ac:dyDescent="0.25">
      <c r="A11" s="57">
        <v>5</v>
      </c>
      <c r="B11" s="57" t="s">
        <v>375</v>
      </c>
      <c r="C11" s="57" t="s">
        <v>298</v>
      </c>
      <c r="D11" s="58" t="s">
        <v>366</v>
      </c>
      <c r="E11" s="61" t="s">
        <v>376</v>
      </c>
      <c r="F11" s="58">
        <v>1</v>
      </c>
      <c r="G11" s="58" t="s">
        <v>368</v>
      </c>
    </row>
    <row r="12" spans="1:7" x14ac:dyDescent="0.25">
      <c r="A12" s="57">
        <v>6</v>
      </c>
      <c r="B12" s="57" t="s">
        <v>377</v>
      </c>
      <c r="C12" s="57" t="s">
        <v>298</v>
      </c>
      <c r="D12" s="58" t="s">
        <v>366</v>
      </c>
      <c r="E12" s="61" t="s">
        <v>378</v>
      </c>
      <c r="F12" s="58">
        <v>1</v>
      </c>
      <c r="G12" s="58" t="s">
        <v>368</v>
      </c>
    </row>
    <row r="13" spans="1:7" x14ac:dyDescent="0.25">
      <c r="A13" s="57">
        <v>7</v>
      </c>
      <c r="B13" s="57" t="s">
        <v>379</v>
      </c>
      <c r="C13" s="57" t="s">
        <v>298</v>
      </c>
      <c r="D13" s="58" t="s">
        <v>366</v>
      </c>
      <c r="E13" s="61" t="s">
        <v>380</v>
      </c>
      <c r="F13" s="58">
        <v>1</v>
      </c>
      <c r="G13" s="58" t="s">
        <v>368</v>
      </c>
    </row>
    <row r="14" spans="1:7" x14ac:dyDescent="0.25">
      <c r="A14" s="57">
        <v>8</v>
      </c>
      <c r="B14" s="57" t="s">
        <v>381</v>
      </c>
      <c r="C14" s="57" t="s">
        <v>298</v>
      </c>
      <c r="D14" s="58" t="s">
        <v>366</v>
      </c>
      <c r="E14" s="61" t="s">
        <v>382</v>
      </c>
      <c r="F14" s="58">
        <v>1</v>
      </c>
      <c r="G14" s="58" t="s">
        <v>368</v>
      </c>
    </row>
    <row r="15" spans="1:7" x14ac:dyDescent="0.25">
      <c r="A15" s="57">
        <v>9</v>
      </c>
      <c r="B15" s="57" t="s">
        <v>383</v>
      </c>
      <c r="C15" s="57" t="s">
        <v>298</v>
      </c>
      <c r="D15" s="58" t="s">
        <v>366</v>
      </c>
      <c r="E15" s="61" t="s">
        <v>384</v>
      </c>
      <c r="F15" s="58">
        <v>1</v>
      </c>
      <c r="G15" s="58" t="s">
        <v>368</v>
      </c>
    </row>
    <row r="16" spans="1:7" x14ac:dyDescent="0.25">
      <c r="A16" s="57">
        <v>10</v>
      </c>
      <c r="B16" s="57" t="s">
        <v>385</v>
      </c>
      <c r="C16" s="57" t="s">
        <v>298</v>
      </c>
      <c r="D16" s="58" t="s">
        <v>366</v>
      </c>
      <c r="E16" s="61" t="s">
        <v>386</v>
      </c>
      <c r="F16" s="58">
        <v>1</v>
      </c>
      <c r="G16" s="58" t="s">
        <v>368</v>
      </c>
    </row>
    <row r="17" spans="1:7" x14ac:dyDescent="0.25">
      <c r="A17" s="57">
        <v>11</v>
      </c>
      <c r="B17" s="57" t="s">
        <v>387</v>
      </c>
      <c r="C17" s="57" t="s">
        <v>298</v>
      </c>
      <c r="D17" s="58" t="s">
        <v>366</v>
      </c>
      <c r="E17" s="61" t="s">
        <v>388</v>
      </c>
      <c r="F17" s="58">
        <v>1</v>
      </c>
      <c r="G17" s="58" t="s">
        <v>368</v>
      </c>
    </row>
    <row r="18" spans="1:7" ht="30" x14ac:dyDescent="0.25">
      <c r="A18" s="57">
        <v>12</v>
      </c>
      <c r="B18" s="57" t="s">
        <v>389</v>
      </c>
      <c r="C18" s="57" t="s">
        <v>298</v>
      </c>
      <c r="D18" s="58" t="s">
        <v>366</v>
      </c>
      <c r="E18" s="61" t="s">
        <v>390</v>
      </c>
      <c r="F18" s="58">
        <v>3</v>
      </c>
      <c r="G18" s="58" t="s">
        <v>368</v>
      </c>
    </row>
    <row r="19" spans="1:7" x14ac:dyDescent="0.25">
      <c r="A19" s="57">
        <v>13</v>
      </c>
      <c r="B19" s="57" t="s">
        <v>391</v>
      </c>
      <c r="C19" s="57" t="s">
        <v>298</v>
      </c>
      <c r="D19" s="58" t="s">
        <v>366</v>
      </c>
      <c r="E19" s="61"/>
      <c r="F19" s="58">
        <v>1</v>
      </c>
      <c r="G19" s="58" t="s">
        <v>368</v>
      </c>
    </row>
    <row r="20" spans="1:7" x14ac:dyDescent="0.25">
      <c r="A20" s="57">
        <v>14</v>
      </c>
      <c r="B20" s="57" t="s">
        <v>392</v>
      </c>
      <c r="C20" s="57" t="s">
        <v>298</v>
      </c>
      <c r="D20" s="58" t="s">
        <v>366</v>
      </c>
      <c r="E20" s="61" t="s">
        <v>393</v>
      </c>
      <c r="F20" s="58">
        <v>1</v>
      </c>
      <c r="G20" s="58" t="s">
        <v>368</v>
      </c>
    </row>
    <row r="21" spans="1:7" x14ac:dyDescent="0.25">
      <c r="A21" s="57">
        <v>15</v>
      </c>
      <c r="B21" s="57" t="s">
        <v>394</v>
      </c>
      <c r="C21" s="57" t="s">
        <v>298</v>
      </c>
      <c r="D21" s="58" t="s">
        <v>366</v>
      </c>
      <c r="E21" s="61" t="s">
        <v>395</v>
      </c>
      <c r="F21" s="58">
        <v>1</v>
      </c>
      <c r="G21" s="58" t="s">
        <v>368</v>
      </c>
    </row>
    <row r="22" spans="1:7" x14ac:dyDescent="0.25">
      <c r="A22" s="57">
        <v>16</v>
      </c>
      <c r="B22" s="57" t="s">
        <v>396</v>
      </c>
      <c r="C22" s="57" t="s">
        <v>298</v>
      </c>
      <c r="D22" s="58" t="s">
        <v>366</v>
      </c>
      <c r="E22" s="61" t="s">
        <v>397</v>
      </c>
      <c r="F22" s="58">
        <v>1</v>
      </c>
      <c r="G22" s="58" t="s">
        <v>368</v>
      </c>
    </row>
    <row r="23" spans="1:7" x14ac:dyDescent="0.25">
      <c r="A23" s="57">
        <v>17</v>
      </c>
      <c r="B23" s="57" t="s">
        <v>398</v>
      </c>
      <c r="C23" s="57" t="s">
        <v>298</v>
      </c>
      <c r="D23" s="58" t="s">
        <v>366</v>
      </c>
      <c r="E23" s="61" t="s">
        <v>399</v>
      </c>
      <c r="F23" s="58">
        <v>1</v>
      </c>
      <c r="G23" s="58" t="s">
        <v>368</v>
      </c>
    </row>
    <row r="24" spans="1:7" x14ac:dyDescent="0.25">
      <c r="A24" s="57">
        <v>18</v>
      </c>
      <c r="B24" s="57" t="s">
        <v>400</v>
      </c>
      <c r="C24" s="57" t="s">
        <v>298</v>
      </c>
      <c r="D24" s="58" t="s">
        <v>366</v>
      </c>
      <c r="E24" s="61" t="s">
        <v>401</v>
      </c>
      <c r="F24" s="58">
        <v>1</v>
      </c>
      <c r="G24" s="58" t="s">
        <v>368</v>
      </c>
    </row>
    <row r="25" spans="1:7" x14ac:dyDescent="0.25">
      <c r="A25" s="57">
        <v>19</v>
      </c>
      <c r="B25" s="57" t="s">
        <v>402</v>
      </c>
      <c r="C25" s="57" t="s">
        <v>298</v>
      </c>
      <c r="D25" s="58" t="s">
        <v>366</v>
      </c>
      <c r="E25" s="61" t="s">
        <v>401</v>
      </c>
      <c r="F25" s="58">
        <v>1</v>
      </c>
      <c r="G25" s="58" t="s">
        <v>368</v>
      </c>
    </row>
    <row r="26" spans="1:7" x14ac:dyDescent="0.25">
      <c r="A26" s="57">
        <v>20</v>
      </c>
      <c r="B26" s="57" t="s">
        <v>403</v>
      </c>
      <c r="C26" s="57" t="s">
        <v>356</v>
      </c>
      <c r="D26" s="58" t="s">
        <v>366</v>
      </c>
      <c r="E26" s="61" t="s">
        <v>404</v>
      </c>
      <c r="F26" s="58">
        <v>4</v>
      </c>
      <c r="G26" s="58" t="s">
        <v>368</v>
      </c>
    </row>
    <row r="27" spans="1:7" x14ac:dyDescent="0.25">
      <c r="A27" s="57">
        <v>21</v>
      </c>
      <c r="B27" s="57" t="s">
        <v>405</v>
      </c>
      <c r="C27" s="57" t="s">
        <v>356</v>
      </c>
      <c r="D27" s="58" t="s">
        <v>366</v>
      </c>
      <c r="E27" s="61" t="s">
        <v>406</v>
      </c>
      <c r="F27" s="58">
        <v>4</v>
      </c>
      <c r="G27" s="58" t="s">
        <v>368</v>
      </c>
    </row>
    <row r="28" spans="1:7" ht="60" x14ac:dyDescent="0.25">
      <c r="A28" s="57">
        <v>22</v>
      </c>
      <c r="B28" s="57" t="s">
        <v>377</v>
      </c>
      <c r="C28" s="57" t="s">
        <v>356</v>
      </c>
      <c r="D28" s="58" t="s">
        <v>366</v>
      </c>
      <c r="E28" s="61" t="s">
        <v>407</v>
      </c>
      <c r="F28" s="58">
        <v>2</v>
      </c>
      <c r="G28" s="58" t="s">
        <v>368</v>
      </c>
    </row>
    <row r="29" spans="1:7" x14ac:dyDescent="0.25">
      <c r="A29" s="57">
        <v>23</v>
      </c>
      <c r="B29" s="57" t="s">
        <v>408</v>
      </c>
      <c r="C29" s="57" t="s">
        <v>356</v>
      </c>
      <c r="D29" s="58" t="s">
        <v>366</v>
      </c>
      <c r="E29" s="61" t="s">
        <v>409</v>
      </c>
      <c r="F29" s="58">
        <v>1</v>
      </c>
      <c r="G29" s="58" t="s">
        <v>368</v>
      </c>
    </row>
    <row r="30" spans="1:7" x14ac:dyDescent="0.25">
      <c r="A30" s="57">
        <v>24</v>
      </c>
      <c r="B30" s="57" t="s">
        <v>410</v>
      </c>
      <c r="C30" s="57" t="s">
        <v>356</v>
      </c>
      <c r="D30" s="58" t="s">
        <v>366</v>
      </c>
      <c r="E30" s="61" t="s">
        <v>411</v>
      </c>
      <c r="F30" s="58">
        <v>1</v>
      </c>
      <c r="G30" s="58" t="s">
        <v>368</v>
      </c>
    </row>
    <row r="31" spans="1:7" x14ac:dyDescent="0.25">
      <c r="A31" s="57">
        <v>25</v>
      </c>
      <c r="B31" s="57" t="s">
        <v>381</v>
      </c>
      <c r="C31" s="57" t="s">
        <v>356</v>
      </c>
      <c r="D31" s="58" t="s">
        <v>366</v>
      </c>
      <c r="E31" s="61" t="s">
        <v>412</v>
      </c>
      <c r="F31" s="58">
        <v>1</v>
      </c>
      <c r="G31" s="58" t="s">
        <v>368</v>
      </c>
    </row>
    <row r="32" spans="1:7" x14ac:dyDescent="0.25">
      <c r="A32" s="57">
        <v>26</v>
      </c>
      <c r="B32" s="57" t="s">
        <v>385</v>
      </c>
      <c r="C32" s="57" t="s">
        <v>356</v>
      </c>
      <c r="D32" s="58" t="s">
        <v>366</v>
      </c>
      <c r="E32" s="61" t="s">
        <v>413</v>
      </c>
      <c r="F32" s="58">
        <v>1</v>
      </c>
      <c r="G32" s="58" t="s">
        <v>368</v>
      </c>
    </row>
    <row r="33" spans="1:7" ht="30" x14ac:dyDescent="0.25">
      <c r="A33" s="57">
        <v>27</v>
      </c>
      <c r="B33" s="57" t="s">
        <v>387</v>
      </c>
      <c r="C33" s="57" t="s">
        <v>356</v>
      </c>
      <c r="D33" s="58" t="s">
        <v>366</v>
      </c>
      <c r="E33" s="61" t="s">
        <v>414</v>
      </c>
      <c r="F33" s="58">
        <v>3</v>
      </c>
      <c r="G33" s="58" t="s">
        <v>368</v>
      </c>
    </row>
    <row r="34" spans="1:7" x14ac:dyDescent="0.25">
      <c r="A34" s="57">
        <v>28</v>
      </c>
      <c r="B34" s="57" t="s">
        <v>415</v>
      </c>
      <c r="C34" s="57" t="s">
        <v>356</v>
      </c>
      <c r="D34" s="58" t="s">
        <v>366</v>
      </c>
      <c r="E34" s="61" t="s">
        <v>380</v>
      </c>
      <c r="F34" s="58">
        <v>4</v>
      </c>
      <c r="G34" s="58" t="s">
        <v>368</v>
      </c>
    </row>
    <row r="35" spans="1:7" x14ac:dyDescent="0.25">
      <c r="A35" s="57">
        <v>29</v>
      </c>
      <c r="B35" s="57" t="s">
        <v>416</v>
      </c>
      <c r="C35" s="57" t="s">
        <v>356</v>
      </c>
      <c r="D35" s="58" t="s">
        <v>366</v>
      </c>
      <c r="E35" s="61" t="s">
        <v>417</v>
      </c>
      <c r="F35" s="58">
        <v>1</v>
      </c>
      <c r="G35" s="58" t="s">
        <v>368</v>
      </c>
    </row>
    <row r="36" spans="1:7" x14ac:dyDescent="0.25">
      <c r="A36" s="57">
        <v>30</v>
      </c>
      <c r="B36" s="57" t="s">
        <v>418</v>
      </c>
      <c r="C36" s="57" t="s">
        <v>356</v>
      </c>
      <c r="D36" s="58" t="s">
        <v>366</v>
      </c>
      <c r="E36" s="61" t="s">
        <v>419</v>
      </c>
      <c r="F36" s="58">
        <v>1</v>
      </c>
      <c r="G36" s="58" t="s">
        <v>368</v>
      </c>
    </row>
    <row r="37" spans="1:7" ht="30.75" customHeight="1" x14ac:dyDescent="0.25">
      <c r="A37" s="57">
        <v>31</v>
      </c>
      <c r="B37" s="57" t="s">
        <v>389</v>
      </c>
      <c r="C37" s="57" t="s">
        <v>356</v>
      </c>
      <c r="D37" s="58" t="s">
        <v>366</v>
      </c>
      <c r="E37" s="61" t="s">
        <v>420</v>
      </c>
      <c r="F37" s="58">
        <v>5</v>
      </c>
      <c r="G37" s="58" t="s">
        <v>368</v>
      </c>
    </row>
    <row r="38" spans="1:7" x14ac:dyDescent="0.25">
      <c r="A38" s="57">
        <v>32</v>
      </c>
      <c r="B38" s="57" t="s">
        <v>421</v>
      </c>
      <c r="C38" s="57" t="s">
        <v>356</v>
      </c>
      <c r="D38" s="58" t="s">
        <v>366</v>
      </c>
      <c r="E38" s="61" t="s">
        <v>422</v>
      </c>
      <c r="F38" s="58">
        <v>2</v>
      </c>
      <c r="G38" s="58" t="s">
        <v>368</v>
      </c>
    </row>
    <row r="39" spans="1:7" x14ac:dyDescent="0.25">
      <c r="A39" s="57">
        <v>33</v>
      </c>
      <c r="B39" s="57" t="s">
        <v>423</v>
      </c>
      <c r="C39" s="57" t="s">
        <v>356</v>
      </c>
      <c r="D39" s="58" t="s">
        <v>366</v>
      </c>
      <c r="E39" s="61" t="s">
        <v>424</v>
      </c>
      <c r="F39" s="58">
        <v>1</v>
      </c>
      <c r="G39" s="58" t="s">
        <v>368</v>
      </c>
    </row>
    <row r="40" spans="1:7" x14ac:dyDescent="0.25">
      <c r="A40" s="57">
        <v>34</v>
      </c>
      <c r="B40" s="57" t="s">
        <v>425</v>
      </c>
      <c r="C40" s="57" t="s">
        <v>356</v>
      </c>
      <c r="D40" s="58" t="s">
        <v>366</v>
      </c>
      <c r="E40" s="61" t="s">
        <v>426</v>
      </c>
      <c r="F40" s="58">
        <v>1</v>
      </c>
      <c r="G40" s="58" t="s">
        <v>368</v>
      </c>
    </row>
    <row r="41" spans="1:7" x14ac:dyDescent="0.25">
      <c r="A41" s="57">
        <v>35</v>
      </c>
      <c r="B41" s="57" t="s">
        <v>427</v>
      </c>
      <c r="C41" s="57" t="s">
        <v>356</v>
      </c>
      <c r="D41" s="58" t="s">
        <v>366</v>
      </c>
      <c r="E41" s="61" t="s">
        <v>428</v>
      </c>
      <c r="F41" s="58">
        <v>1</v>
      </c>
      <c r="G41" s="58" t="s">
        <v>368</v>
      </c>
    </row>
    <row r="42" spans="1:7" x14ac:dyDescent="0.25">
      <c r="A42" s="57">
        <v>36</v>
      </c>
      <c r="B42" s="57" t="s">
        <v>392</v>
      </c>
      <c r="C42" s="57" t="s">
        <v>356</v>
      </c>
      <c r="D42" s="58" t="s">
        <v>366</v>
      </c>
      <c r="E42" s="61" t="s">
        <v>429</v>
      </c>
      <c r="F42" s="58">
        <v>1</v>
      </c>
      <c r="G42" s="58" t="s">
        <v>368</v>
      </c>
    </row>
    <row r="43" spans="1:7" x14ac:dyDescent="0.25">
      <c r="A43" s="57">
        <v>37</v>
      </c>
      <c r="B43" s="57" t="s">
        <v>430</v>
      </c>
      <c r="C43" s="57" t="s">
        <v>356</v>
      </c>
      <c r="D43" s="58" t="s">
        <v>366</v>
      </c>
      <c r="E43" s="61" t="s">
        <v>431</v>
      </c>
      <c r="F43" s="58">
        <v>1</v>
      </c>
      <c r="G43" s="58" t="s">
        <v>368</v>
      </c>
    </row>
    <row r="44" spans="1:7" x14ac:dyDescent="0.25">
      <c r="A44" s="57">
        <v>38</v>
      </c>
      <c r="B44" s="57" t="s">
        <v>410</v>
      </c>
      <c r="C44" s="57" t="s">
        <v>356</v>
      </c>
      <c r="D44" s="58" t="s">
        <v>366</v>
      </c>
      <c r="E44" s="61" t="s">
        <v>432</v>
      </c>
      <c r="F44" s="58">
        <v>1</v>
      </c>
      <c r="G44" s="58" t="s">
        <v>368</v>
      </c>
    </row>
    <row r="45" spans="1:7" x14ac:dyDescent="0.25">
      <c r="A45" s="57">
        <v>39</v>
      </c>
      <c r="B45" s="57" t="s">
        <v>394</v>
      </c>
      <c r="C45" s="57" t="s">
        <v>356</v>
      </c>
      <c r="D45" s="58" t="s">
        <v>366</v>
      </c>
      <c r="E45" s="61" t="s">
        <v>433</v>
      </c>
      <c r="F45" s="58">
        <v>1</v>
      </c>
      <c r="G45" s="58" t="s">
        <v>368</v>
      </c>
    </row>
    <row r="46" spans="1:7" x14ac:dyDescent="0.25">
      <c r="A46" s="57">
        <v>40</v>
      </c>
      <c r="B46" s="57" t="s">
        <v>396</v>
      </c>
      <c r="C46" s="57" t="s">
        <v>356</v>
      </c>
      <c r="D46" s="58" t="s">
        <v>366</v>
      </c>
      <c r="E46" s="61" t="s">
        <v>397</v>
      </c>
      <c r="F46" s="58">
        <v>1</v>
      </c>
      <c r="G46" s="58" t="s">
        <v>368</v>
      </c>
    </row>
    <row r="47" spans="1:7" x14ac:dyDescent="0.25">
      <c r="A47" s="57">
        <v>41</v>
      </c>
      <c r="B47" s="57" t="s">
        <v>434</v>
      </c>
      <c r="C47" s="57" t="s">
        <v>356</v>
      </c>
      <c r="D47" s="58" t="s">
        <v>366</v>
      </c>
      <c r="E47" s="61" t="s">
        <v>435</v>
      </c>
      <c r="F47" s="58">
        <v>1</v>
      </c>
      <c r="G47" s="58" t="s">
        <v>368</v>
      </c>
    </row>
    <row r="48" spans="1:7" x14ac:dyDescent="0.25">
      <c r="A48" s="57">
        <v>42</v>
      </c>
      <c r="B48" s="57" t="s">
        <v>436</v>
      </c>
      <c r="C48" s="57" t="s">
        <v>356</v>
      </c>
      <c r="D48" s="58" t="s">
        <v>366</v>
      </c>
      <c r="E48" s="61" t="s">
        <v>437</v>
      </c>
      <c r="F48" s="58">
        <v>1</v>
      </c>
      <c r="G48" s="58" t="s">
        <v>368</v>
      </c>
    </row>
    <row r="49" spans="1:7" x14ac:dyDescent="0.25">
      <c r="A49" s="57">
        <v>43</v>
      </c>
      <c r="B49" s="57" t="s">
        <v>438</v>
      </c>
      <c r="C49" s="57" t="s">
        <v>356</v>
      </c>
      <c r="D49" s="58" t="s">
        <v>366</v>
      </c>
      <c r="E49" s="61" t="s">
        <v>439</v>
      </c>
      <c r="F49" s="58">
        <v>1</v>
      </c>
      <c r="G49" s="58" t="s">
        <v>368</v>
      </c>
    </row>
    <row r="50" spans="1:7" x14ac:dyDescent="0.25">
      <c r="A50" s="57">
        <v>44</v>
      </c>
      <c r="B50" s="57" t="s">
        <v>440</v>
      </c>
      <c r="C50" s="57" t="s">
        <v>356</v>
      </c>
      <c r="D50" s="58" t="s">
        <v>366</v>
      </c>
      <c r="E50" s="61" t="s">
        <v>441</v>
      </c>
      <c r="F50" s="58">
        <v>1</v>
      </c>
      <c r="G50" s="58" t="s">
        <v>368</v>
      </c>
    </row>
    <row r="51" spans="1:7" x14ac:dyDescent="0.25">
      <c r="A51" s="57">
        <v>45</v>
      </c>
      <c r="B51" s="57" t="s">
        <v>400</v>
      </c>
      <c r="C51" s="57" t="s">
        <v>356</v>
      </c>
      <c r="D51" s="58" t="s">
        <v>366</v>
      </c>
      <c r="E51" s="61" t="s">
        <v>442</v>
      </c>
      <c r="F51" s="58">
        <v>3</v>
      </c>
      <c r="G51" s="58" t="s">
        <v>368</v>
      </c>
    </row>
    <row r="52" spans="1:7" x14ac:dyDescent="0.25">
      <c r="A52" s="57">
        <v>46</v>
      </c>
      <c r="B52" s="57" t="s">
        <v>402</v>
      </c>
      <c r="C52" s="57" t="s">
        <v>356</v>
      </c>
      <c r="D52" s="58" t="s">
        <v>366</v>
      </c>
      <c r="E52" s="61" t="s">
        <v>443</v>
      </c>
      <c r="F52" s="58">
        <v>2</v>
      </c>
      <c r="G52" s="58" t="s">
        <v>368</v>
      </c>
    </row>
    <row r="53" spans="1:7" x14ac:dyDescent="0.25">
      <c r="A53" s="57">
        <v>47</v>
      </c>
      <c r="B53" s="57" t="s">
        <v>381</v>
      </c>
      <c r="C53" s="57" t="s">
        <v>346</v>
      </c>
      <c r="D53" s="58" t="s">
        <v>366</v>
      </c>
      <c r="E53" s="61" t="s">
        <v>412</v>
      </c>
      <c r="F53" s="58">
        <v>1</v>
      </c>
      <c r="G53" s="58" t="s">
        <v>368</v>
      </c>
    </row>
    <row r="54" spans="1:7" x14ac:dyDescent="0.25">
      <c r="A54" s="57">
        <v>48</v>
      </c>
      <c r="B54" s="57" t="s">
        <v>387</v>
      </c>
      <c r="C54" s="57" t="s">
        <v>346</v>
      </c>
      <c r="D54" s="58" t="s">
        <v>366</v>
      </c>
      <c r="E54" s="61" t="s">
        <v>444</v>
      </c>
      <c r="F54" s="58">
        <v>1</v>
      </c>
      <c r="G54" s="58" t="s">
        <v>368</v>
      </c>
    </row>
    <row r="55" spans="1:7" x14ac:dyDescent="0.25">
      <c r="A55" s="57">
        <v>49</v>
      </c>
      <c r="B55" s="57" t="s">
        <v>445</v>
      </c>
      <c r="C55" s="57" t="s">
        <v>346</v>
      </c>
      <c r="D55" s="58" t="s">
        <v>366</v>
      </c>
      <c r="E55" s="61" t="s">
        <v>446</v>
      </c>
      <c r="F55" s="58">
        <v>1</v>
      </c>
      <c r="G55" s="58" t="s">
        <v>368</v>
      </c>
    </row>
    <row r="56" spans="1:7" x14ac:dyDescent="0.25">
      <c r="A56" s="57">
        <v>50</v>
      </c>
      <c r="B56" s="57" t="s">
        <v>447</v>
      </c>
      <c r="C56" s="57" t="s">
        <v>346</v>
      </c>
      <c r="D56" s="58" t="s">
        <v>366</v>
      </c>
      <c r="E56" s="61" t="s">
        <v>448</v>
      </c>
      <c r="F56" s="58">
        <v>1</v>
      </c>
      <c r="G56" s="58" t="s">
        <v>368</v>
      </c>
    </row>
    <row r="57" spans="1:7" x14ac:dyDescent="0.25">
      <c r="A57" s="57">
        <v>51</v>
      </c>
      <c r="B57" s="57" t="s">
        <v>449</v>
      </c>
      <c r="C57" s="57" t="s">
        <v>346</v>
      </c>
      <c r="D57" s="58" t="s">
        <v>366</v>
      </c>
      <c r="E57" s="61" t="s">
        <v>450</v>
      </c>
      <c r="F57" s="58">
        <v>1</v>
      </c>
      <c r="G57" s="58" t="s">
        <v>368</v>
      </c>
    </row>
    <row r="58" spans="1:7" x14ac:dyDescent="0.25">
      <c r="A58" s="57">
        <v>52</v>
      </c>
      <c r="B58" s="57" t="s">
        <v>451</v>
      </c>
      <c r="C58" s="57" t="s">
        <v>346</v>
      </c>
      <c r="D58" s="58" t="s">
        <v>366</v>
      </c>
      <c r="E58" s="61" t="s">
        <v>452</v>
      </c>
      <c r="F58" s="58">
        <v>1</v>
      </c>
      <c r="G58" s="58" t="s">
        <v>368</v>
      </c>
    </row>
    <row r="59" spans="1:7" x14ac:dyDescent="0.25">
      <c r="A59" s="57">
        <v>53</v>
      </c>
      <c r="B59" s="57" t="s">
        <v>453</v>
      </c>
      <c r="C59" s="57" t="s">
        <v>346</v>
      </c>
      <c r="D59" s="58" t="s">
        <v>366</v>
      </c>
      <c r="E59" s="61" t="s">
        <v>454</v>
      </c>
      <c r="F59" s="58">
        <v>1</v>
      </c>
      <c r="G59" s="58" t="s">
        <v>368</v>
      </c>
    </row>
    <row r="60" spans="1:7" x14ac:dyDescent="0.25">
      <c r="A60" s="57">
        <v>54</v>
      </c>
      <c r="B60" s="57" t="s">
        <v>392</v>
      </c>
      <c r="C60" s="57" t="s">
        <v>346</v>
      </c>
      <c r="D60" s="58" t="s">
        <v>366</v>
      </c>
      <c r="E60" s="61" t="s">
        <v>429</v>
      </c>
      <c r="F60" s="58">
        <v>1</v>
      </c>
      <c r="G60" s="58" t="s">
        <v>368</v>
      </c>
    </row>
    <row r="61" spans="1:7" x14ac:dyDescent="0.25">
      <c r="A61" s="57">
        <v>55</v>
      </c>
      <c r="B61" s="57" t="s">
        <v>394</v>
      </c>
      <c r="C61" s="57" t="s">
        <v>346</v>
      </c>
      <c r="D61" s="58" t="s">
        <v>366</v>
      </c>
      <c r="E61" s="61" t="s">
        <v>455</v>
      </c>
      <c r="F61" s="58">
        <v>1</v>
      </c>
      <c r="G61" s="58" t="s">
        <v>368</v>
      </c>
    </row>
    <row r="62" spans="1:7" x14ac:dyDescent="0.25">
      <c r="A62" s="57">
        <v>56</v>
      </c>
      <c r="B62" s="57" t="s">
        <v>456</v>
      </c>
      <c r="C62" s="57" t="s">
        <v>346</v>
      </c>
      <c r="D62" s="58" t="s">
        <v>366</v>
      </c>
      <c r="E62" s="61" t="s">
        <v>454</v>
      </c>
      <c r="F62" s="58">
        <v>1</v>
      </c>
      <c r="G62" s="58" t="s">
        <v>368</v>
      </c>
    </row>
    <row r="63" spans="1:7" x14ac:dyDescent="0.25">
      <c r="A63" s="57">
        <v>57</v>
      </c>
      <c r="B63" s="57" t="s">
        <v>457</v>
      </c>
      <c r="C63" s="57" t="s">
        <v>346</v>
      </c>
      <c r="D63" s="58" t="s">
        <v>366</v>
      </c>
      <c r="E63" s="61" t="s">
        <v>458</v>
      </c>
      <c r="F63" s="58">
        <v>1</v>
      </c>
      <c r="G63" s="58" t="s">
        <v>368</v>
      </c>
    </row>
    <row r="64" spans="1:7" x14ac:dyDescent="0.25">
      <c r="A64" s="57">
        <v>58</v>
      </c>
      <c r="B64" s="57" t="s">
        <v>381</v>
      </c>
      <c r="C64" s="57" t="s">
        <v>344</v>
      </c>
      <c r="D64" s="58" t="s">
        <v>366</v>
      </c>
      <c r="E64" s="61" t="s">
        <v>382</v>
      </c>
      <c r="F64" s="58">
        <v>1</v>
      </c>
      <c r="G64" s="58" t="s">
        <v>368</v>
      </c>
    </row>
    <row r="65" spans="1:7" x14ac:dyDescent="0.25">
      <c r="A65" s="57">
        <v>59</v>
      </c>
      <c r="B65" s="57" t="s">
        <v>387</v>
      </c>
      <c r="C65" s="57" t="s">
        <v>344</v>
      </c>
      <c r="D65" s="58" t="s">
        <v>366</v>
      </c>
      <c r="E65" s="61" t="s">
        <v>459</v>
      </c>
      <c r="F65" s="58">
        <v>1</v>
      </c>
      <c r="G65" s="58" t="s">
        <v>368</v>
      </c>
    </row>
    <row r="66" spans="1:7" x14ac:dyDescent="0.25">
      <c r="A66" s="57">
        <v>60</v>
      </c>
      <c r="B66" s="57" t="s">
        <v>445</v>
      </c>
      <c r="C66" s="57" t="s">
        <v>344</v>
      </c>
      <c r="D66" s="58" t="s">
        <v>366</v>
      </c>
      <c r="E66" s="61" t="s">
        <v>460</v>
      </c>
      <c r="F66" s="58">
        <v>1</v>
      </c>
      <c r="G66" s="58" t="s">
        <v>368</v>
      </c>
    </row>
    <row r="67" spans="1:7" ht="30" x14ac:dyDescent="0.25">
      <c r="A67" s="57">
        <v>61</v>
      </c>
      <c r="B67" s="57" t="s">
        <v>447</v>
      </c>
      <c r="C67" s="57" t="s">
        <v>344</v>
      </c>
      <c r="D67" s="58" t="s">
        <v>366</v>
      </c>
      <c r="E67" s="61" t="s">
        <v>461</v>
      </c>
      <c r="F67" s="58">
        <v>1</v>
      </c>
      <c r="G67" s="58" t="s">
        <v>368</v>
      </c>
    </row>
    <row r="68" spans="1:7" x14ac:dyDescent="0.25">
      <c r="A68" s="57">
        <v>62</v>
      </c>
      <c r="B68" s="57" t="s">
        <v>449</v>
      </c>
      <c r="C68" s="57" t="s">
        <v>344</v>
      </c>
      <c r="D68" s="58" t="s">
        <v>366</v>
      </c>
      <c r="E68" s="61" t="s">
        <v>462</v>
      </c>
      <c r="F68" s="58">
        <v>1</v>
      </c>
      <c r="G68" s="58" t="s">
        <v>368</v>
      </c>
    </row>
    <row r="69" spans="1:7" x14ac:dyDescent="0.25">
      <c r="A69" s="57">
        <v>63</v>
      </c>
      <c r="B69" s="57" t="s">
        <v>451</v>
      </c>
      <c r="C69" s="57" t="s">
        <v>344</v>
      </c>
      <c r="D69" s="58" t="s">
        <v>366</v>
      </c>
      <c r="E69" s="61" t="s">
        <v>463</v>
      </c>
      <c r="F69" s="58">
        <v>1</v>
      </c>
      <c r="G69" s="58" t="s">
        <v>368</v>
      </c>
    </row>
    <row r="70" spans="1:7" x14ac:dyDescent="0.25">
      <c r="A70" s="57">
        <v>64</v>
      </c>
      <c r="B70" s="57" t="s">
        <v>453</v>
      </c>
      <c r="C70" s="57" t="s">
        <v>344</v>
      </c>
      <c r="D70" s="58" t="s">
        <v>366</v>
      </c>
      <c r="E70" s="61" t="s">
        <v>454</v>
      </c>
      <c r="F70" s="58">
        <v>1</v>
      </c>
      <c r="G70" s="58" t="s">
        <v>368</v>
      </c>
    </row>
    <row r="71" spans="1:7" x14ac:dyDescent="0.25">
      <c r="A71" s="57">
        <v>65</v>
      </c>
      <c r="B71" s="57" t="s">
        <v>394</v>
      </c>
      <c r="C71" s="57" t="s">
        <v>344</v>
      </c>
      <c r="D71" s="58" t="s">
        <v>366</v>
      </c>
      <c r="E71" s="61" t="s">
        <v>464</v>
      </c>
      <c r="F71" s="58">
        <v>1</v>
      </c>
      <c r="G71" s="58" t="s">
        <v>368</v>
      </c>
    </row>
    <row r="72" spans="1:7" x14ac:dyDescent="0.25">
      <c r="A72" s="57">
        <v>66</v>
      </c>
      <c r="B72" s="57" t="s">
        <v>456</v>
      </c>
      <c r="C72" s="57" t="s">
        <v>344</v>
      </c>
      <c r="D72" s="58" t="s">
        <v>366</v>
      </c>
      <c r="E72" s="61" t="s">
        <v>454</v>
      </c>
      <c r="F72" s="58">
        <v>1</v>
      </c>
      <c r="G72" s="58" t="s">
        <v>368</v>
      </c>
    </row>
    <row r="73" spans="1:7" x14ac:dyDescent="0.25">
      <c r="A73" s="57">
        <v>67</v>
      </c>
      <c r="B73" s="57" t="s">
        <v>465</v>
      </c>
      <c r="C73" s="57" t="s">
        <v>344</v>
      </c>
      <c r="D73" s="58" t="s">
        <v>366</v>
      </c>
      <c r="E73" s="61" t="s">
        <v>466</v>
      </c>
      <c r="F73" s="58">
        <v>1</v>
      </c>
      <c r="G73" s="58" t="s">
        <v>368</v>
      </c>
    </row>
    <row r="74" spans="1:7" x14ac:dyDescent="0.25">
      <c r="A74" s="57">
        <v>68</v>
      </c>
      <c r="B74" s="57" t="s">
        <v>457</v>
      </c>
      <c r="C74" s="57" t="s">
        <v>344</v>
      </c>
      <c r="D74" s="58" t="s">
        <v>366</v>
      </c>
      <c r="E74" s="61" t="s">
        <v>458</v>
      </c>
      <c r="F74" s="58">
        <v>1</v>
      </c>
      <c r="G74" s="58" t="s">
        <v>368</v>
      </c>
    </row>
    <row r="75" spans="1:7" x14ac:dyDescent="0.25">
      <c r="A75" s="57">
        <v>69</v>
      </c>
      <c r="B75" s="57" t="s">
        <v>381</v>
      </c>
      <c r="C75" s="57" t="s">
        <v>342</v>
      </c>
      <c r="D75" s="58" t="s">
        <v>366</v>
      </c>
      <c r="E75" s="61" t="s">
        <v>467</v>
      </c>
      <c r="F75" s="58">
        <v>1</v>
      </c>
      <c r="G75" s="58" t="s">
        <v>368</v>
      </c>
    </row>
    <row r="76" spans="1:7" x14ac:dyDescent="0.25">
      <c r="A76" s="57">
        <v>70</v>
      </c>
      <c r="B76" s="57" t="s">
        <v>387</v>
      </c>
      <c r="C76" s="57" t="s">
        <v>342</v>
      </c>
      <c r="D76" s="58" t="s">
        <v>366</v>
      </c>
      <c r="E76" s="61" t="s">
        <v>468</v>
      </c>
      <c r="F76" s="58">
        <v>1</v>
      </c>
      <c r="G76" s="58" t="s">
        <v>368</v>
      </c>
    </row>
    <row r="77" spans="1:7" x14ac:dyDescent="0.25">
      <c r="A77" s="57">
        <v>71</v>
      </c>
      <c r="B77" s="57" t="s">
        <v>445</v>
      </c>
      <c r="C77" s="57" t="s">
        <v>342</v>
      </c>
      <c r="D77" s="58" t="s">
        <v>366</v>
      </c>
      <c r="E77" s="61" t="s">
        <v>469</v>
      </c>
      <c r="F77" s="58">
        <v>1</v>
      </c>
      <c r="G77" s="58" t="s">
        <v>368</v>
      </c>
    </row>
    <row r="78" spans="1:7" x14ac:dyDescent="0.25">
      <c r="A78" s="57">
        <v>72</v>
      </c>
      <c r="B78" s="57" t="s">
        <v>447</v>
      </c>
      <c r="C78" s="57" t="s">
        <v>342</v>
      </c>
      <c r="D78" s="58" t="s">
        <v>366</v>
      </c>
      <c r="E78" s="61" t="s">
        <v>470</v>
      </c>
      <c r="F78" s="58">
        <v>1</v>
      </c>
      <c r="G78" s="58" t="s">
        <v>368</v>
      </c>
    </row>
    <row r="79" spans="1:7" x14ac:dyDescent="0.25">
      <c r="A79" s="57">
        <v>73</v>
      </c>
      <c r="B79" s="57" t="s">
        <v>449</v>
      </c>
      <c r="C79" s="57" t="s">
        <v>342</v>
      </c>
      <c r="D79" s="58" t="s">
        <v>366</v>
      </c>
      <c r="E79" s="61" t="s">
        <v>471</v>
      </c>
      <c r="F79" s="58">
        <v>1</v>
      </c>
      <c r="G79" s="58" t="s">
        <v>368</v>
      </c>
    </row>
    <row r="80" spans="1:7" x14ac:dyDescent="0.25">
      <c r="A80" s="57">
        <v>74</v>
      </c>
      <c r="B80" s="57" t="s">
        <v>451</v>
      </c>
      <c r="C80" s="57" t="s">
        <v>342</v>
      </c>
      <c r="D80" s="58" t="s">
        <v>366</v>
      </c>
      <c r="E80" s="61" t="s">
        <v>472</v>
      </c>
      <c r="F80" s="58">
        <v>1</v>
      </c>
      <c r="G80" s="58" t="s">
        <v>368</v>
      </c>
    </row>
    <row r="81" spans="1:7" x14ac:dyDescent="0.25">
      <c r="A81" s="57">
        <v>75</v>
      </c>
      <c r="B81" s="57" t="s">
        <v>453</v>
      </c>
      <c r="C81" s="57" t="s">
        <v>342</v>
      </c>
      <c r="D81" s="58" t="s">
        <v>366</v>
      </c>
      <c r="E81" s="61" t="s">
        <v>454</v>
      </c>
      <c r="F81" s="58">
        <v>1</v>
      </c>
      <c r="G81" s="58" t="s">
        <v>368</v>
      </c>
    </row>
    <row r="82" spans="1:7" x14ac:dyDescent="0.25">
      <c r="A82" s="57">
        <v>76</v>
      </c>
      <c r="B82" s="57" t="s">
        <v>392</v>
      </c>
      <c r="C82" s="57" t="s">
        <v>342</v>
      </c>
      <c r="D82" s="58" t="s">
        <v>366</v>
      </c>
      <c r="E82" s="61" t="s">
        <v>473</v>
      </c>
      <c r="F82" s="58">
        <v>1</v>
      </c>
      <c r="G82" s="58" t="s">
        <v>368</v>
      </c>
    </row>
    <row r="83" spans="1:7" x14ac:dyDescent="0.25">
      <c r="A83" s="57">
        <v>77</v>
      </c>
      <c r="B83" s="57" t="s">
        <v>394</v>
      </c>
      <c r="C83" s="57" t="s">
        <v>342</v>
      </c>
      <c r="D83" s="58" t="s">
        <v>366</v>
      </c>
      <c r="E83" s="61" t="s">
        <v>474</v>
      </c>
      <c r="F83" s="58">
        <v>1</v>
      </c>
      <c r="G83" s="58" t="s">
        <v>368</v>
      </c>
    </row>
    <row r="84" spans="1:7" x14ac:dyDescent="0.25">
      <c r="A84" s="57">
        <v>78</v>
      </c>
      <c r="B84" s="57" t="s">
        <v>456</v>
      </c>
      <c r="C84" s="57" t="s">
        <v>342</v>
      </c>
      <c r="D84" s="58" t="s">
        <v>366</v>
      </c>
      <c r="E84" s="61" t="s">
        <v>454</v>
      </c>
      <c r="F84" s="58">
        <v>1</v>
      </c>
      <c r="G84" s="58" t="s">
        <v>368</v>
      </c>
    </row>
    <row r="85" spans="1:7" x14ac:dyDescent="0.25">
      <c r="A85" s="57">
        <v>79</v>
      </c>
      <c r="B85" s="57" t="s">
        <v>457</v>
      </c>
      <c r="C85" s="57" t="s">
        <v>342</v>
      </c>
      <c r="D85" s="58" t="s">
        <v>366</v>
      </c>
      <c r="E85" s="61" t="s">
        <v>458</v>
      </c>
      <c r="F85" s="58">
        <v>1</v>
      </c>
      <c r="G85" s="58" t="s">
        <v>368</v>
      </c>
    </row>
    <row r="86" spans="1:7" ht="45" x14ac:dyDescent="0.25">
      <c r="A86" s="57">
        <v>80</v>
      </c>
      <c r="B86" s="57" t="s">
        <v>377</v>
      </c>
      <c r="C86" s="57" t="s">
        <v>352</v>
      </c>
      <c r="D86" s="58" t="s">
        <v>366</v>
      </c>
      <c r="E86" s="61" t="s">
        <v>475</v>
      </c>
      <c r="F86" s="58">
        <v>2</v>
      </c>
      <c r="G86" s="58" t="s">
        <v>368</v>
      </c>
    </row>
    <row r="87" spans="1:7" x14ac:dyDescent="0.25">
      <c r="A87" s="57">
        <v>81</v>
      </c>
      <c r="B87" s="57" t="s">
        <v>381</v>
      </c>
      <c r="C87" s="57" t="s">
        <v>352</v>
      </c>
      <c r="D87" s="58" t="s">
        <v>366</v>
      </c>
      <c r="E87" s="61" t="s">
        <v>476</v>
      </c>
      <c r="F87" s="58">
        <v>1</v>
      </c>
      <c r="G87" s="58" t="s">
        <v>368</v>
      </c>
    </row>
    <row r="88" spans="1:7" x14ac:dyDescent="0.25">
      <c r="A88" s="57">
        <v>82</v>
      </c>
      <c r="B88" s="57" t="s">
        <v>385</v>
      </c>
      <c r="C88" s="57" t="s">
        <v>352</v>
      </c>
      <c r="D88" s="58" t="s">
        <v>366</v>
      </c>
      <c r="E88" s="61" t="s">
        <v>386</v>
      </c>
      <c r="F88" s="58">
        <v>1</v>
      </c>
      <c r="G88" s="58" t="s">
        <v>368</v>
      </c>
    </row>
    <row r="89" spans="1:7" ht="30" x14ac:dyDescent="0.25">
      <c r="A89" s="57">
        <v>83</v>
      </c>
      <c r="B89" s="57" t="s">
        <v>387</v>
      </c>
      <c r="C89" s="57" t="s">
        <v>352</v>
      </c>
      <c r="D89" s="58" t="s">
        <v>366</v>
      </c>
      <c r="E89" s="61" t="s">
        <v>477</v>
      </c>
      <c r="F89" s="58">
        <v>1</v>
      </c>
      <c r="G89" s="58" t="s">
        <v>368</v>
      </c>
    </row>
    <row r="90" spans="1:7" ht="58.5" customHeight="1" x14ac:dyDescent="0.25">
      <c r="A90" s="57">
        <v>84</v>
      </c>
      <c r="B90" s="57" t="s">
        <v>478</v>
      </c>
      <c r="C90" s="57" t="s">
        <v>352</v>
      </c>
      <c r="D90" s="58" t="s">
        <v>366</v>
      </c>
      <c r="E90" s="61" t="s">
        <v>479</v>
      </c>
      <c r="F90" s="58">
        <v>4</v>
      </c>
      <c r="G90" s="58" t="s">
        <v>368</v>
      </c>
    </row>
    <row r="91" spans="1:7" ht="45" x14ac:dyDescent="0.25">
      <c r="A91" s="57">
        <v>85</v>
      </c>
      <c r="B91" s="57" t="s">
        <v>480</v>
      </c>
      <c r="C91" s="57" t="s">
        <v>352</v>
      </c>
      <c r="D91" s="58" t="s">
        <v>366</v>
      </c>
      <c r="E91" s="61" t="s">
        <v>481</v>
      </c>
      <c r="F91" s="58">
        <v>1</v>
      </c>
      <c r="G91" s="58" t="s">
        <v>368</v>
      </c>
    </row>
    <row r="92" spans="1:7" ht="45" x14ac:dyDescent="0.25">
      <c r="A92" s="57">
        <v>86</v>
      </c>
      <c r="B92" s="57" t="s">
        <v>482</v>
      </c>
      <c r="C92" s="57" t="s">
        <v>352</v>
      </c>
      <c r="D92" s="58" t="s">
        <v>366</v>
      </c>
      <c r="E92" s="61" t="s">
        <v>481</v>
      </c>
      <c r="F92" s="58">
        <v>1</v>
      </c>
      <c r="G92" s="58" t="s">
        <v>368</v>
      </c>
    </row>
    <row r="93" spans="1:7" ht="75" x14ac:dyDescent="0.25">
      <c r="A93" s="57">
        <v>87</v>
      </c>
      <c r="B93" s="57" t="s">
        <v>483</v>
      </c>
      <c r="C93" s="57" t="s">
        <v>352</v>
      </c>
      <c r="D93" s="58" t="s">
        <v>366</v>
      </c>
      <c r="E93" s="61" t="s">
        <v>484</v>
      </c>
      <c r="F93" s="58">
        <v>15</v>
      </c>
      <c r="G93" s="58" t="s">
        <v>368</v>
      </c>
    </row>
    <row r="94" spans="1:7" ht="30" x14ac:dyDescent="0.25">
      <c r="A94" s="57">
        <v>88</v>
      </c>
      <c r="B94" s="57" t="s">
        <v>485</v>
      </c>
      <c r="C94" s="57" t="s">
        <v>352</v>
      </c>
      <c r="D94" s="58" t="s">
        <v>366</v>
      </c>
      <c r="E94" s="61" t="s">
        <v>486</v>
      </c>
      <c r="F94" s="58">
        <v>15</v>
      </c>
      <c r="G94" s="58" t="s">
        <v>368</v>
      </c>
    </row>
    <row r="95" spans="1:7" ht="60" x14ac:dyDescent="0.25">
      <c r="A95" s="57">
        <v>89</v>
      </c>
      <c r="B95" s="57" t="s">
        <v>415</v>
      </c>
      <c r="C95" s="57" t="s">
        <v>352</v>
      </c>
      <c r="D95" s="58" t="s">
        <v>366</v>
      </c>
      <c r="E95" s="61" t="s">
        <v>487</v>
      </c>
      <c r="F95" s="58">
        <v>1</v>
      </c>
      <c r="G95" s="58" t="s">
        <v>368</v>
      </c>
    </row>
    <row r="96" spans="1:7" ht="59.25" customHeight="1" x14ac:dyDescent="0.25">
      <c r="A96" s="57">
        <v>90</v>
      </c>
      <c r="B96" s="57" t="s">
        <v>488</v>
      </c>
      <c r="C96" s="57" t="s">
        <v>352</v>
      </c>
      <c r="D96" s="58" t="s">
        <v>366</v>
      </c>
      <c r="E96" s="61" t="s">
        <v>489</v>
      </c>
      <c r="F96" s="58">
        <v>1</v>
      </c>
      <c r="G96" s="58" t="s">
        <v>368</v>
      </c>
    </row>
    <row r="97" spans="1:7" ht="60" customHeight="1" x14ac:dyDescent="0.25">
      <c r="A97" s="57">
        <v>91</v>
      </c>
      <c r="B97" s="57" t="s">
        <v>490</v>
      </c>
      <c r="C97" s="57" t="s">
        <v>352</v>
      </c>
      <c r="D97" s="58" t="s">
        <v>366</v>
      </c>
      <c r="E97" s="61" t="s">
        <v>489</v>
      </c>
      <c r="F97" s="58">
        <v>1</v>
      </c>
      <c r="G97" s="58" t="s">
        <v>368</v>
      </c>
    </row>
    <row r="98" spans="1:7" x14ac:dyDescent="0.25">
      <c r="A98" s="57">
        <v>92</v>
      </c>
      <c r="B98" s="57" t="s">
        <v>416</v>
      </c>
      <c r="C98" s="57" t="s">
        <v>352</v>
      </c>
      <c r="D98" s="58" t="s">
        <v>366</v>
      </c>
      <c r="E98" s="61" t="s">
        <v>491</v>
      </c>
      <c r="F98" s="58">
        <v>1</v>
      </c>
      <c r="G98" s="58" t="s">
        <v>368</v>
      </c>
    </row>
    <row r="99" spans="1:7" ht="45" x14ac:dyDescent="0.25">
      <c r="A99" s="57">
        <v>93</v>
      </c>
      <c r="B99" s="57" t="s">
        <v>492</v>
      </c>
      <c r="C99" s="57" t="s">
        <v>352</v>
      </c>
      <c r="D99" s="58" t="s">
        <v>366</v>
      </c>
      <c r="E99" s="61" t="s">
        <v>493</v>
      </c>
      <c r="F99" s="58">
        <v>1</v>
      </c>
      <c r="G99" s="58" t="s">
        <v>368</v>
      </c>
    </row>
    <row r="100" spans="1:7" x14ac:dyDescent="0.25">
      <c r="A100" s="57">
        <v>94</v>
      </c>
      <c r="B100" s="57" t="s">
        <v>494</v>
      </c>
      <c r="C100" s="57" t="s">
        <v>352</v>
      </c>
      <c r="D100" s="58" t="s">
        <v>366</v>
      </c>
      <c r="E100" s="61" t="s">
        <v>495</v>
      </c>
      <c r="F100" s="58">
        <v>1</v>
      </c>
      <c r="G100" s="58" t="s">
        <v>368</v>
      </c>
    </row>
    <row r="101" spans="1:7" x14ac:dyDescent="0.25">
      <c r="A101" s="57">
        <v>95</v>
      </c>
      <c r="B101" s="57" t="s">
        <v>392</v>
      </c>
      <c r="C101" s="57" t="s">
        <v>352</v>
      </c>
      <c r="D101" s="58" t="s">
        <v>366</v>
      </c>
      <c r="E101" s="61" t="s">
        <v>496</v>
      </c>
      <c r="F101" s="58">
        <v>1</v>
      </c>
      <c r="G101" s="58" t="s">
        <v>368</v>
      </c>
    </row>
    <row r="102" spans="1:7" ht="45" x14ac:dyDescent="0.25">
      <c r="A102" s="57">
        <v>96</v>
      </c>
      <c r="B102" s="57" t="s">
        <v>377</v>
      </c>
      <c r="C102" s="57" t="s">
        <v>352</v>
      </c>
      <c r="D102" s="58" t="s">
        <v>366</v>
      </c>
      <c r="E102" s="61" t="s">
        <v>497</v>
      </c>
      <c r="F102" s="58">
        <v>1</v>
      </c>
      <c r="G102" s="58" t="s">
        <v>368</v>
      </c>
    </row>
    <row r="103" spans="1:7" ht="30" x14ac:dyDescent="0.25">
      <c r="A103" s="57">
        <v>97</v>
      </c>
      <c r="B103" s="57" t="s">
        <v>394</v>
      </c>
      <c r="C103" s="57" t="s">
        <v>352</v>
      </c>
      <c r="D103" s="58" t="s">
        <v>366</v>
      </c>
      <c r="E103" s="61" t="s">
        <v>498</v>
      </c>
      <c r="F103" s="58">
        <v>2</v>
      </c>
      <c r="G103" s="58" t="s">
        <v>368</v>
      </c>
    </row>
    <row r="104" spans="1:7" x14ac:dyDescent="0.25">
      <c r="A104" s="57">
        <v>98</v>
      </c>
      <c r="B104" s="57" t="s">
        <v>396</v>
      </c>
      <c r="C104" s="57" t="s">
        <v>352</v>
      </c>
      <c r="D104" s="58" t="s">
        <v>366</v>
      </c>
      <c r="E104" s="61" t="s">
        <v>499</v>
      </c>
      <c r="F104" s="58">
        <v>10</v>
      </c>
      <c r="G104" s="58" t="s">
        <v>368</v>
      </c>
    </row>
    <row r="105" spans="1:7" x14ac:dyDescent="0.25">
      <c r="A105" s="57">
        <v>99</v>
      </c>
      <c r="B105" s="57" t="s">
        <v>500</v>
      </c>
      <c r="C105" s="57" t="s">
        <v>352</v>
      </c>
      <c r="D105" s="58" t="s">
        <v>366</v>
      </c>
      <c r="E105" s="61"/>
      <c r="F105" s="58">
        <v>1</v>
      </c>
      <c r="G105" s="58" t="s">
        <v>368</v>
      </c>
    </row>
    <row r="106" spans="1:7" x14ac:dyDescent="0.25">
      <c r="A106" s="57">
        <v>100</v>
      </c>
      <c r="B106" s="57" t="s">
        <v>400</v>
      </c>
      <c r="C106" s="57" t="s">
        <v>352</v>
      </c>
      <c r="D106" s="58" t="s">
        <v>366</v>
      </c>
      <c r="E106" s="61" t="s">
        <v>501</v>
      </c>
      <c r="F106" s="58">
        <v>1</v>
      </c>
      <c r="G106" s="58" t="s">
        <v>368</v>
      </c>
    </row>
    <row r="107" spans="1:7" x14ac:dyDescent="0.25">
      <c r="A107" s="57">
        <v>101</v>
      </c>
      <c r="B107" s="57" t="s">
        <v>402</v>
      </c>
      <c r="C107" s="57" t="s">
        <v>352</v>
      </c>
      <c r="D107" s="58" t="s">
        <v>366</v>
      </c>
      <c r="E107" s="61" t="s">
        <v>502</v>
      </c>
      <c r="F107" s="58">
        <v>1</v>
      </c>
      <c r="G107" s="58" t="s">
        <v>368</v>
      </c>
    </row>
    <row r="108" spans="1:7" x14ac:dyDescent="0.25">
      <c r="A108" s="57">
        <v>102</v>
      </c>
      <c r="B108" s="57" t="s">
        <v>503</v>
      </c>
      <c r="C108" s="57" t="s">
        <v>352</v>
      </c>
      <c r="D108" s="58" t="s">
        <v>366</v>
      </c>
      <c r="E108" s="61" t="s">
        <v>504</v>
      </c>
      <c r="F108" s="58">
        <v>5</v>
      </c>
      <c r="G108" s="58" t="s">
        <v>368</v>
      </c>
    </row>
    <row r="109" spans="1:7" x14ac:dyDescent="0.25">
      <c r="A109" s="57">
        <v>103</v>
      </c>
      <c r="B109" s="57" t="s">
        <v>365</v>
      </c>
      <c r="C109" s="57" t="s">
        <v>347</v>
      </c>
      <c r="D109" s="58" t="s">
        <v>366</v>
      </c>
      <c r="E109" s="61" t="s">
        <v>505</v>
      </c>
      <c r="F109" s="58">
        <v>6</v>
      </c>
      <c r="G109" s="58" t="s">
        <v>368</v>
      </c>
    </row>
    <row r="110" spans="1:7" x14ac:dyDescent="0.25">
      <c r="A110" s="57">
        <v>104</v>
      </c>
      <c r="B110" s="57" t="s">
        <v>369</v>
      </c>
      <c r="C110" s="57" t="s">
        <v>347</v>
      </c>
      <c r="D110" s="58" t="s">
        <v>366</v>
      </c>
      <c r="E110" s="61" t="s">
        <v>506</v>
      </c>
      <c r="F110" s="58">
        <v>36</v>
      </c>
      <c r="G110" s="58" t="s">
        <v>368</v>
      </c>
    </row>
    <row r="111" spans="1:7" x14ac:dyDescent="0.25">
      <c r="A111" s="57">
        <v>105</v>
      </c>
      <c r="B111" s="57" t="s">
        <v>371</v>
      </c>
      <c r="C111" s="57" t="s">
        <v>347</v>
      </c>
      <c r="D111" s="58" t="s">
        <v>366</v>
      </c>
      <c r="E111" s="61" t="s">
        <v>505</v>
      </c>
      <c r="F111" s="58">
        <v>3</v>
      </c>
      <c r="G111" s="58" t="s">
        <v>368</v>
      </c>
    </row>
    <row r="112" spans="1:7" x14ac:dyDescent="0.25">
      <c r="A112" s="57">
        <v>106</v>
      </c>
      <c r="B112" s="57" t="s">
        <v>373</v>
      </c>
      <c r="C112" s="57" t="s">
        <v>347</v>
      </c>
      <c r="D112" s="58" t="s">
        <v>366</v>
      </c>
      <c r="E112" s="61" t="s">
        <v>506</v>
      </c>
      <c r="F112" s="58">
        <v>3</v>
      </c>
      <c r="G112" s="58" t="s">
        <v>368</v>
      </c>
    </row>
    <row r="113" spans="1:7" x14ac:dyDescent="0.25">
      <c r="A113" s="57">
        <v>107</v>
      </c>
      <c r="B113" s="57" t="s">
        <v>375</v>
      </c>
      <c r="C113" s="57" t="s">
        <v>347</v>
      </c>
      <c r="D113" s="58" t="s">
        <v>366</v>
      </c>
      <c r="E113" s="61" t="s">
        <v>505</v>
      </c>
      <c r="F113" s="58">
        <v>1</v>
      </c>
      <c r="G113" s="58" t="s">
        <v>368</v>
      </c>
    </row>
    <row r="114" spans="1:7" x14ac:dyDescent="0.25">
      <c r="A114" s="57">
        <v>108</v>
      </c>
      <c r="B114" s="57" t="s">
        <v>381</v>
      </c>
      <c r="C114" s="57" t="s">
        <v>347</v>
      </c>
      <c r="D114" s="58" t="s">
        <v>366</v>
      </c>
      <c r="E114" s="61" t="s">
        <v>507</v>
      </c>
      <c r="F114" s="58">
        <v>1</v>
      </c>
      <c r="G114" s="58" t="s">
        <v>368</v>
      </c>
    </row>
    <row r="115" spans="1:7" x14ac:dyDescent="0.25">
      <c r="A115" s="57">
        <v>109</v>
      </c>
      <c r="B115" s="57" t="s">
        <v>385</v>
      </c>
      <c r="C115" s="57" t="s">
        <v>347</v>
      </c>
      <c r="D115" s="58" t="s">
        <v>366</v>
      </c>
      <c r="E115" s="61" t="s">
        <v>508</v>
      </c>
      <c r="F115" s="58">
        <v>1</v>
      </c>
      <c r="G115" s="58" t="s">
        <v>368</v>
      </c>
    </row>
    <row r="116" spans="1:7" x14ac:dyDescent="0.25">
      <c r="A116" s="57">
        <v>110</v>
      </c>
      <c r="B116" s="57" t="s">
        <v>509</v>
      </c>
      <c r="C116" s="57" t="s">
        <v>347</v>
      </c>
      <c r="D116" s="58" t="s">
        <v>366</v>
      </c>
      <c r="E116" s="61" t="s">
        <v>510</v>
      </c>
      <c r="F116" s="58">
        <v>1</v>
      </c>
      <c r="G116" s="58" t="s">
        <v>368</v>
      </c>
    </row>
    <row r="117" spans="1:7" x14ac:dyDescent="0.25">
      <c r="A117" s="57">
        <v>111</v>
      </c>
      <c r="B117" s="57" t="s">
        <v>511</v>
      </c>
      <c r="C117" s="57" t="s">
        <v>347</v>
      </c>
      <c r="D117" s="58" t="s">
        <v>366</v>
      </c>
      <c r="E117" s="61" t="s">
        <v>505</v>
      </c>
      <c r="F117" s="58">
        <v>3</v>
      </c>
      <c r="G117" s="58" t="s">
        <v>368</v>
      </c>
    </row>
    <row r="118" spans="1:7" x14ac:dyDescent="0.25">
      <c r="A118" s="57">
        <v>112</v>
      </c>
      <c r="B118" s="57" t="s">
        <v>511</v>
      </c>
      <c r="C118" s="57" t="s">
        <v>347</v>
      </c>
      <c r="D118" s="58" t="s">
        <v>366</v>
      </c>
      <c r="E118" s="61" t="s">
        <v>512</v>
      </c>
      <c r="F118" s="58">
        <v>3</v>
      </c>
      <c r="G118" s="58" t="s">
        <v>368</v>
      </c>
    </row>
    <row r="119" spans="1:7" x14ac:dyDescent="0.25">
      <c r="A119" s="57">
        <v>113</v>
      </c>
      <c r="B119" s="57" t="s">
        <v>511</v>
      </c>
      <c r="C119" s="57" t="s">
        <v>347</v>
      </c>
      <c r="D119" s="58" t="s">
        <v>366</v>
      </c>
      <c r="E119" s="61" t="s">
        <v>513</v>
      </c>
      <c r="F119" s="58">
        <v>3</v>
      </c>
      <c r="G119" s="58" t="s">
        <v>368</v>
      </c>
    </row>
    <row r="120" spans="1:7" x14ac:dyDescent="0.25">
      <c r="A120" s="57">
        <v>114</v>
      </c>
      <c r="B120" s="57" t="s">
        <v>511</v>
      </c>
      <c r="C120" s="57" t="s">
        <v>347</v>
      </c>
      <c r="D120" s="58" t="s">
        <v>366</v>
      </c>
      <c r="E120" s="61" t="s">
        <v>513</v>
      </c>
      <c r="F120" s="58">
        <v>3</v>
      </c>
      <c r="G120" s="58" t="s">
        <v>368</v>
      </c>
    </row>
    <row r="121" spans="1:7" x14ac:dyDescent="0.25">
      <c r="A121" s="57">
        <v>115</v>
      </c>
      <c r="B121" s="57" t="s">
        <v>511</v>
      </c>
      <c r="C121" s="57" t="s">
        <v>347</v>
      </c>
      <c r="D121" s="58" t="s">
        <v>366</v>
      </c>
      <c r="E121" s="61" t="s">
        <v>505</v>
      </c>
      <c r="F121" s="58">
        <v>3</v>
      </c>
      <c r="G121" s="58" t="s">
        <v>368</v>
      </c>
    </row>
    <row r="122" spans="1:7" x14ac:dyDescent="0.25">
      <c r="A122" s="57">
        <v>116</v>
      </c>
      <c r="B122" s="57" t="s">
        <v>511</v>
      </c>
      <c r="C122" s="57" t="s">
        <v>347</v>
      </c>
      <c r="D122" s="58" t="s">
        <v>366</v>
      </c>
      <c r="E122" s="61" t="s">
        <v>512</v>
      </c>
      <c r="F122" s="58">
        <v>3</v>
      </c>
      <c r="G122" s="58" t="s">
        <v>368</v>
      </c>
    </row>
    <row r="123" spans="1:7" x14ac:dyDescent="0.25">
      <c r="A123" s="57">
        <v>117</v>
      </c>
      <c r="B123" s="57" t="s">
        <v>514</v>
      </c>
      <c r="C123" s="57" t="s">
        <v>347</v>
      </c>
      <c r="D123" s="58" t="s">
        <v>366</v>
      </c>
      <c r="E123" s="61" t="s">
        <v>505</v>
      </c>
      <c r="F123" s="58">
        <v>3</v>
      </c>
      <c r="G123" s="58" t="s">
        <v>368</v>
      </c>
    </row>
    <row r="124" spans="1:7" x14ac:dyDescent="0.25">
      <c r="A124" s="57">
        <v>118</v>
      </c>
      <c r="B124" s="57" t="s">
        <v>515</v>
      </c>
      <c r="C124" s="57" t="s">
        <v>347</v>
      </c>
      <c r="D124" s="58" t="s">
        <v>366</v>
      </c>
      <c r="E124" s="61" t="s">
        <v>505</v>
      </c>
      <c r="F124" s="58">
        <v>3</v>
      </c>
      <c r="G124" s="58" t="s">
        <v>368</v>
      </c>
    </row>
    <row r="125" spans="1:7" x14ac:dyDescent="0.25">
      <c r="A125" s="57">
        <v>119</v>
      </c>
      <c r="B125" s="57" t="s">
        <v>516</v>
      </c>
      <c r="C125" s="57" t="s">
        <v>347</v>
      </c>
      <c r="D125" s="58" t="s">
        <v>366</v>
      </c>
      <c r="E125" s="61" t="s">
        <v>505</v>
      </c>
      <c r="F125" s="58">
        <v>3</v>
      </c>
      <c r="G125" s="58" t="s">
        <v>368</v>
      </c>
    </row>
    <row r="126" spans="1:7" x14ac:dyDescent="0.25">
      <c r="A126" s="57">
        <v>120</v>
      </c>
      <c r="B126" s="57" t="s">
        <v>516</v>
      </c>
      <c r="C126" s="57" t="s">
        <v>347</v>
      </c>
      <c r="D126" s="58" t="s">
        <v>366</v>
      </c>
      <c r="E126" s="61" t="s">
        <v>505</v>
      </c>
      <c r="F126" s="58">
        <v>3</v>
      </c>
      <c r="G126" s="58" t="s">
        <v>368</v>
      </c>
    </row>
    <row r="127" spans="1:7" x14ac:dyDescent="0.25">
      <c r="A127" s="57">
        <v>121</v>
      </c>
      <c r="B127" s="57" t="s">
        <v>516</v>
      </c>
      <c r="C127" s="57" t="s">
        <v>347</v>
      </c>
      <c r="D127" s="58" t="s">
        <v>366</v>
      </c>
      <c r="E127" s="61" t="s">
        <v>505</v>
      </c>
      <c r="F127" s="58">
        <v>3</v>
      </c>
      <c r="G127" s="58" t="s">
        <v>368</v>
      </c>
    </row>
    <row r="128" spans="1:7" x14ac:dyDescent="0.25">
      <c r="A128" s="57">
        <v>122</v>
      </c>
      <c r="B128" s="57" t="s">
        <v>516</v>
      </c>
      <c r="C128" s="57" t="s">
        <v>347</v>
      </c>
      <c r="D128" s="58" t="s">
        <v>366</v>
      </c>
      <c r="E128" s="61" t="s">
        <v>505</v>
      </c>
      <c r="F128" s="58">
        <v>3</v>
      </c>
      <c r="G128" s="58" t="s">
        <v>368</v>
      </c>
    </row>
    <row r="129" spans="1:7" x14ac:dyDescent="0.25">
      <c r="A129" s="57">
        <v>123</v>
      </c>
      <c r="B129" s="57" t="s">
        <v>516</v>
      </c>
      <c r="C129" s="57" t="s">
        <v>347</v>
      </c>
      <c r="D129" s="58" t="s">
        <v>366</v>
      </c>
      <c r="E129" s="61" t="s">
        <v>505</v>
      </c>
      <c r="F129" s="58">
        <v>3</v>
      </c>
      <c r="G129" s="58" t="s">
        <v>368</v>
      </c>
    </row>
    <row r="130" spans="1:7" x14ac:dyDescent="0.25">
      <c r="A130" s="57">
        <v>124</v>
      </c>
      <c r="B130" s="57" t="s">
        <v>516</v>
      </c>
      <c r="C130" s="57" t="s">
        <v>347</v>
      </c>
      <c r="D130" s="58" t="s">
        <v>366</v>
      </c>
      <c r="E130" s="61" t="s">
        <v>505</v>
      </c>
      <c r="F130" s="58">
        <v>3</v>
      </c>
      <c r="G130" s="58" t="s">
        <v>368</v>
      </c>
    </row>
    <row r="131" spans="1:7" x14ac:dyDescent="0.25">
      <c r="A131" s="57">
        <v>125</v>
      </c>
      <c r="B131" s="57" t="s">
        <v>516</v>
      </c>
      <c r="C131" s="57" t="s">
        <v>347</v>
      </c>
      <c r="D131" s="58" t="s">
        <v>366</v>
      </c>
      <c r="E131" s="61" t="s">
        <v>505</v>
      </c>
      <c r="F131" s="58">
        <v>3</v>
      </c>
      <c r="G131" s="58" t="s">
        <v>368</v>
      </c>
    </row>
    <row r="132" spans="1:7" x14ac:dyDescent="0.25">
      <c r="A132" s="57">
        <v>126</v>
      </c>
      <c r="B132" s="57" t="s">
        <v>516</v>
      </c>
      <c r="C132" s="57" t="s">
        <v>347</v>
      </c>
      <c r="D132" s="58" t="s">
        <v>366</v>
      </c>
      <c r="E132" s="61" t="s">
        <v>505</v>
      </c>
      <c r="F132" s="58">
        <v>3</v>
      </c>
      <c r="G132" s="58" t="s">
        <v>368</v>
      </c>
    </row>
    <row r="133" spans="1:7" x14ac:dyDescent="0.25">
      <c r="A133" s="57">
        <v>127</v>
      </c>
      <c r="B133" s="57" t="s">
        <v>517</v>
      </c>
      <c r="C133" s="57" t="s">
        <v>347</v>
      </c>
      <c r="D133" s="58" t="s">
        <v>366</v>
      </c>
      <c r="E133" s="61"/>
      <c r="F133" s="58">
        <v>0</v>
      </c>
      <c r="G133" s="58" t="s">
        <v>518</v>
      </c>
    </row>
    <row r="134" spans="1:7" x14ac:dyDescent="0.25">
      <c r="A134" s="57">
        <v>128</v>
      </c>
      <c r="B134" s="57" t="s">
        <v>519</v>
      </c>
      <c r="C134" s="57" t="s">
        <v>347</v>
      </c>
      <c r="D134" s="58" t="s">
        <v>366</v>
      </c>
      <c r="E134" s="61"/>
      <c r="F134" s="58">
        <v>0</v>
      </c>
      <c r="G134" s="58" t="s">
        <v>518</v>
      </c>
    </row>
    <row r="135" spans="1:7" x14ac:dyDescent="0.25">
      <c r="A135" s="57">
        <v>129</v>
      </c>
      <c r="B135" s="57" t="s">
        <v>520</v>
      </c>
      <c r="C135" s="57" t="s">
        <v>347</v>
      </c>
      <c r="D135" s="58" t="s">
        <v>366</v>
      </c>
      <c r="E135" s="61" t="s">
        <v>513</v>
      </c>
      <c r="F135" s="58">
        <v>2</v>
      </c>
      <c r="G135" s="58" t="s">
        <v>368</v>
      </c>
    </row>
    <row r="136" spans="1:7" x14ac:dyDescent="0.25">
      <c r="A136" s="57">
        <v>130</v>
      </c>
      <c r="B136" s="57" t="s">
        <v>521</v>
      </c>
      <c r="C136" s="57" t="s">
        <v>347</v>
      </c>
      <c r="D136" s="58" t="s">
        <v>366</v>
      </c>
      <c r="E136" s="61"/>
      <c r="F136" s="58">
        <v>0</v>
      </c>
      <c r="G136" s="58" t="s">
        <v>518</v>
      </c>
    </row>
    <row r="137" spans="1:7" x14ac:dyDescent="0.25">
      <c r="A137" s="57">
        <v>131</v>
      </c>
      <c r="B137" s="57" t="s">
        <v>521</v>
      </c>
      <c r="C137" s="57" t="s">
        <v>347</v>
      </c>
      <c r="D137" s="58" t="s">
        <v>366</v>
      </c>
      <c r="E137" s="61"/>
      <c r="F137" s="58">
        <v>0</v>
      </c>
      <c r="G137" s="58" t="s">
        <v>518</v>
      </c>
    </row>
    <row r="138" spans="1:7" x14ac:dyDescent="0.25">
      <c r="A138" s="57">
        <v>132</v>
      </c>
      <c r="B138" s="57" t="s">
        <v>522</v>
      </c>
      <c r="C138" s="57" t="s">
        <v>347</v>
      </c>
      <c r="D138" s="58" t="s">
        <v>366</v>
      </c>
      <c r="E138" s="61"/>
      <c r="F138" s="58">
        <v>0</v>
      </c>
      <c r="G138" s="58" t="s">
        <v>518</v>
      </c>
    </row>
    <row r="139" spans="1:7" x14ac:dyDescent="0.25">
      <c r="A139" s="57">
        <v>133</v>
      </c>
      <c r="B139" s="57" t="s">
        <v>523</v>
      </c>
      <c r="C139" s="57" t="s">
        <v>347</v>
      </c>
      <c r="D139" s="58" t="s">
        <v>366</v>
      </c>
      <c r="E139" s="61"/>
      <c r="F139" s="58">
        <v>0</v>
      </c>
      <c r="G139" s="58" t="s">
        <v>518</v>
      </c>
    </row>
    <row r="140" spans="1:7" x14ac:dyDescent="0.25">
      <c r="A140" s="57">
        <v>134</v>
      </c>
      <c r="B140" s="57" t="s">
        <v>524</v>
      </c>
      <c r="C140" s="57" t="s">
        <v>347</v>
      </c>
      <c r="D140" s="58" t="s">
        <v>366</v>
      </c>
      <c r="E140" s="61" t="s">
        <v>505</v>
      </c>
      <c r="F140" s="58">
        <v>3</v>
      </c>
      <c r="G140" s="58" t="s">
        <v>368</v>
      </c>
    </row>
    <row r="141" spans="1:7" x14ac:dyDescent="0.25">
      <c r="A141" s="57">
        <v>135</v>
      </c>
      <c r="B141" s="57" t="s">
        <v>525</v>
      </c>
      <c r="C141" s="57" t="s">
        <v>347</v>
      </c>
      <c r="D141" s="58" t="s">
        <v>366</v>
      </c>
      <c r="E141" s="61" t="s">
        <v>505</v>
      </c>
      <c r="F141" s="58">
        <v>3</v>
      </c>
      <c r="G141" s="58" t="s">
        <v>368</v>
      </c>
    </row>
    <row r="142" spans="1:7" x14ac:dyDescent="0.25">
      <c r="A142" s="57">
        <v>136</v>
      </c>
      <c r="B142" s="57" t="s">
        <v>526</v>
      </c>
      <c r="C142" s="57" t="s">
        <v>347</v>
      </c>
      <c r="D142" s="58" t="s">
        <v>366</v>
      </c>
      <c r="E142" s="61" t="s">
        <v>505</v>
      </c>
      <c r="F142" s="58">
        <v>2</v>
      </c>
      <c r="G142" s="58" t="s">
        <v>368</v>
      </c>
    </row>
    <row r="143" spans="1:7" x14ac:dyDescent="0.25">
      <c r="A143" s="57">
        <v>137</v>
      </c>
      <c r="B143" s="57" t="s">
        <v>527</v>
      </c>
      <c r="C143" s="57" t="s">
        <v>347</v>
      </c>
      <c r="D143" s="58" t="s">
        <v>366</v>
      </c>
      <c r="E143" s="61" t="s">
        <v>505</v>
      </c>
      <c r="F143" s="58">
        <v>2</v>
      </c>
      <c r="G143" s="58" t="s">
        <v>368</v>
      </c>
    </row>
    <row r="144" spans="1:7" x14ac:dyDescent="0.25">
      <c r="A144" s="57">
        <v>138</v>
      </c>
      <c r="B144" s="57" t="s">
        <v>528</v>
      </c>
      <c r="C144" s="57" t="s">
        <v>347</v>
      </c>
      <c r="D144" s="58" t="s">
        <v>366</v>
      </c>
      <c r="E144" s="61"/>
      <c r="F144" s="58">
        <v>0</v>
      </c>
      <c r="G144" s="58" t="s">
        <v>518</v>
      </c>
    </row>
    <row r="145" spans="1:7" x14ac:dyDescent="0.25">
      <c r="A145" s="57">
        <v>139</v>
      </c>
      <c r="B145" s="57" t="s">
        <v>529</v>
      </c>
      <c r="C145" s="57" t="s">
        <v>347</v>
      </c>
      <c r="D145" s="58" t="s">
        <v>366</v>
      </c>
      <c r="E145" s="61"/>
      <c r="F145" s="58">
        <v>0</v>
      </c>
      <c r="G145" s="58" t="s">
        <v>518</v>
      </c>
    </row>
    <row r="146" spans="1:7" x14ac:dyDescent="0.25">
      <c r="A146" s="57">
        <v>140</v>
      </c>
      <c r="B146" s="57" t="s">
        <v>530</v>
      </c>
      <c r="C146" s="57" t="s">
        <v>347</v>
      </c>
      <c r="D146" s="58" t="s">
        <v>366</v>
      </c>
      <c r="E146" s="61"/>
      <c r="F146" s="58">
        <v>0</v>
      </c>
      <c r="G146" s="58" t="s">
        <v>518</v>
      </c>
    </row>
    <row r="147" spans="1:7" x14ac:dyDescent="0.25">
      <c r="A147" s="57">
        <v>141</v>
      </c>
      <c r="B147" s="57" t="s">
        <v>531</v>
      </c>
      <c r="C147" s="57" t="s">
        <v>347</v>
      </c>
      <c r="D147" s="58" t="s">
        <v>366</v>
      </c>
      <c r="E147" s="61"/>
      <c r="F147" s="58">
        <v>0</v>
      </c>
      <c r="G147" s="58" t="s">
        <v>518</v>
      </c>
    </row>
    <row r="148" spans="1:7" x14ac:dyDescent="0.25">
      <c r="A148" s="57">
        <v>142</v>
      </c>
      <c r="B148" s="57" t="s">
        <v>532</v>
      </c>
      <c r="C148" s="57" t="s">
        <v>347</v>
      </c>
      <c r="D148" s="58" t="s">
        <v>366</v>
      </c>
      <c r="E148" s="61"/>
      <c r="F148" s="58">
        <v>0</v>
      </c>
      <c r="G148" s="58" t="s">
        <v>518</v>
      </c>
    </row>
    <row r="149" spans="1:7" x14ac:dyDescent="0.25">
      <c r="A149" s="57">
        <v>143</v>
      </c>
      <c r="B149" s="57" t="s">
        <v>533</v>
      </c>
      <c r="C149" s="57" t="s">
        <v>347</v>
      </c>
      <c r="D149" s="58" t="s">
        <v>366</v>
      </c>
      <c r="E149" s="61" t="s">
        <v>534</v>
      </c>
      <c r="F149" s="58">
        <v>3</v>
      </c>
      <c r="G149" s="58" t="s">
        <v>368</v>
      </c>
    </row>
    <row r="150" spans="1:7" x14ac:dyDescent="0.25">
      <c r="A150" s="57">
        <v>144</v>
      </c>
      <c r="B150" s="57" t="s">
        <v>400</v>
      </c>
      <c r="C150" s="57" t="s">
        <v>347</v>
      </c>
      <c r="D150" s="58" t="s">
        <v>366</v>
      </c>
      <c r="E150" s="61"/>
      <c r="F150" s="58">
        <v>0</v>
      </c>
      <c r="G150" s="58" t="s">
        <v>518</v>
      </c>
    </row>
    <row r="151" spans="1:7" x14ac:dyDescent="0.25">
      <c r="A151" s="57">
        <v>145</v>
      </c>
      <c r="B151" s="57" t="s">
        <v>402</v>
      </c>
      <c r="C151" s="57" t="s">
        <v>347</v>
      </c>
      <c r="D151" s="58" t="s">
        <v>366</v>
      </c>
      <c r="E151" s="61"/>
      <c r="F151" s="58">
        <v>0</v>
      </c>
      <c r="G151" s="58" t="s">
        <v>518</v>
      </c>
    </row>
    <row r="152" spans="1:7" x14ac:dyDescent="0.25">
      <c r="A152" s="57">
        <v>146</v>
      </c>
      <c r="B152" s="57" t="s">
        <v>535</v>
      </c>
      <c r="C152" s="57" t="s">
        <v>347</v>
      </c>
      <c r="D152" s="58" t="s">
        <v>366</v>
      </c>
      <c r="E152" s="61"/>
      <c r="F152" s="58">
        <v>0</v>
      </c>
      <c r="G152" s="58" t="s">
        <v>518</v>
      </c>
    </row>
    <row r="153" spans="1:7" x14ac:dyDescent="0.25">
      <c r="A153" s="57">
        <v>147</v>
      </c>
      <c r="B153" s="57" t="s">
        <v>536</v>
      </c>
      <c r="C153" s="57" t="s">
        <v>347</v>
      </c>
      <c r="D153" s="58" t="s">
        <v>366</v>
      </c>
      <c r="E153" s="61"/>
      <c r="F153" s="58">
        <v>0</v>
      </c>
      <c r="G153" s="58" t="s">
        <v>518</v>
      </c>
    </row>
    <row r="154" spans="1:7" x14ac:dyDescent="0.25">
      <c r="A154" s="57">
        <v>148</v>
      </c>
      <c r="B154" s="57" t="s">
        <v>536</v>
      </c>
      <c r="C154" s="57" t="s">
        <v>347</v>
      </c>
      <c r="D154" s="58" t="s">
        <v>366</v>
      </c>
      <c r="E154" s="61"/>
      <c r="F154" s="58">
        <v>0</v>
      </c>
      <c r="G154" s="58" t="s">
        <v>518</v>
      </c>
    </row>
    <row r="155" spans="1:7" x14ac:dyDescent="0.25">
      <c r="A155" s="57">
        <v>149</v>
      </c>
      <c r="B155" s="57" t="s">
        <v>537</v>
      </c>
      <c r="C155" s="57" t="s">
        <v>347</v>
      </c>
      <c r="D155" s="58" t="s">
        <v>366</v>
      </c>
      <c r="E155" s="61"/>
      <c r="F155" s="58">
        <v>0</v>
      </c>
      <c r="G155" s="58" t="s">
        <v>518</v>
      </c>
    </row>
    <row r="156" spans="1:7" x14ac:dyDescent="0.25">
      <c r="A156" s="57">
        <v>150</v>
      </c>
      <c r="B156" s="57" t="s">
        <v>537</v>
      </c>
      <c r="C156" s="57" t="s">
        <v>347</v>
      </c>
      <c r="D156" s="58" t="s">
        <v>366</v>
      </c>
      <c r="E156" s="61"/>
      <c r="F156" s="58">
        <v>0</v>
      </c>
      <c r="G156" s="58" t="s">
        <v>518</v>
      </c>
    </row>
    <row r="157" spans="1:7" ht="30" x14ac:dyDescent="0.25">
      <c r="A157" s="57">
        <v>151</v>
      </c>
      <c r="B157" s="57" t="s">
        <v>365</v>
      </c>
      <c r="C157" s="57" t="s">
        <v>303</v>
      </c>
      <c r="D157" s="58" t="s">
        <v>366</v>
      </c>
      <c r="E157" s="61" t="s">
        <v>538</v>
      </c>
      <c r="F157" s="58">
        <v>25</v>
      </c>
      <c r="G157" s="58" t="s">
        <v>368</v>
      </c>
    </row>
    <row r="158" spans="1:7" ht="45" x14ac:dyDescent="0.25">
      <c r="A158" s="57">
        <v>152</v>
      </c>
      <c r="B158" s="57" t="s">
        <v>369</v>
      </c>
      <c r="C158" s="57" t="s">
        <v>303</v>
      </c>
      <c r="D158" s="58" t="s">
        <v>366</v>
      </c>
      <c r="E158" s="61" t="s">
        <v>539</v>
      </c>
      <c r="F158" s="58">
        <v>25</v>
      </c>
      <c r="G158" s="58" t="s">
        <v>368</v>
      </c>
    </row>
    <row r="159" spans="1:7" ht="30" x14ac:dyDescent="0.25">
      <c r="A159" s="57">
        <v>153</v>
      </c>
      <c r="B159" s="57" t="s">
        <v>371</v>
      </c>
      <c r="C159" s="57" t="s">
        <v>303</v>
      </c>
      <c r="D159" s="58" t="s">
        <v>366</v>
      </c>
      <c r="E159" s="61" t="s">
        <v>540</v>
      </c>
      <c r="F159" s="58">
        <v>1</v>
      </c>
      <c r="G159" s="58" t="s">
        <v>368</v>
      </c>
    </row>
    <row r="160" spans="1:7" ht="45" x14ac:dyDescent="0.25">
      <c r="A160" s="57">
        <v>154</v>
      </c>
      <c r="B160" s="57" t="s">
        <v>373</v>
      </c>
      <c r="C160" s="57" t="s">
        <v>303</v>
      </c>
      <c r="D160" s="58" t="s">
        <v>366</v>
      </c>
      <c r="E160" s="61" t="s">
        <v>541</v>
      </c>
      <c r="F160" s="58">
        <v>1</v>
      </c>
      <c r="G160" s="58" t="s">
        <v>368</v>
      </c>
    </row>
    <row r="161" spans="1:7" ht="30" x14ac:dyDescent="0.25">
      <c r="A161" s="57">
        <v>155</v>
      </c>
      <c r="B161" s="57" t="s">
        <v>375</v>
      </c>
      <c r="C161" s="57" t="s">
        <v>303</v>
      </c>
      <c r="D161" s="58" t="s">
        <v>366</v>
      </c>
      <c r="E161" s="61" t="s">
        <v>542</v>
      </c>
      <c r="F161" s="58">
        <v>1</v>
      </c>
      <c r="G161" s="58" t="s">
        <v>368</v>
      </c>
    </row>
    <row r="162" spans="1:7" x14ac:dyDescent="0.25">
      <c r="A162" s="57">
        <v>156</v>
      </c>
      <c r="B162" s="57" t="s">
        <v>377</v>
      </c>
      <c r="C162" s="57" t="s">
        <v>303</v>
      </c>
      <c r="D162" s="58" t="s">
        <v>366</v>
      </c>
      <c r="E162" s="61" t="s">
        <v>543</v>
      </c>
      <c r="F162" s="58">
        <v>1</v>
      </c>
      <c r="G162" s="58" t="s">
        <v>368</v>
      </c>
    </row>
    <row r="163" spans="1:7" x14ac:dyDescent="0.25">
      <c r="A163" s="57">
        <v>157</v>
      </c>
      <c r="B163" s="57" t="s">
        <v>379</v>
      </c>
      <c r="C163" s="57" t="s">
        <v>303</v>
      </c>
      <c r="D163" s="58" t="s">
        <v>366</v>
      </c>
      <c r="E163" s="61" t="s">
        <v>379</v>
      </c>
      <c r="F163" s="58">
        <v>1</v>
      </c>
      <c r="G163" s="58" t="s">
        <v>368</v>
      </c>
    </row>
    <row r="164" spans="1:7" x14ac:dyDescent="0.25">
      <c r="A164" s="57">
        <v>158</v>
      </c>
      <c r="B164" s="57" t="s">
        <v>381</v>
      </c>
      <c r="C164" s="57" t="s">
        <v>303</v>
      </c>
      <c r="D164" s="58" t="s">
        <v>366</v>
      </c>
      <c r="E164" s="61" t="s">
        <v>544</v>
      </c>
      <c r="F164" s="58">
        <v>1</v>
      </c>
      <c r="G164" s="58" t="s">
        <v>368</v>
      </c>
    </row>
    <row r="165" spans="1:7" x14ac:dyDescent="0.25">
      <c r="A165" s="57">
        <v>159</v>
      </c>
      <c r="B165" s="57" t="s">
        <v>383</v>
      </c>
      <c r="C165" s="57" t="s">
        <v>303</v>
      </c>
      <c r="D165" s="58" t="s">
        <v>366</v>
      </c>
      <c r="E165" s="61" t="s">
        <v>545</v>
      </c>
      <c r="F165" s="58">
        <v>1</v>
      </c>
      <c r="G165" s="58" t="s">
        <v>368</v>
      </c>
    </row>
    <row r="166" spans="1:7" x14ac:dyDescent="0.25">
      <c r="A166" s="57">
        <v>160</v>
      </c>
      <c r="B166" s="57" t="s">
        <v>385</v>
      </c>
      <c r="C166" s="57" t="s">
        <v>303</v>
      </c>
      <c r="D166" s="58" t="s">
        <v>366</v>
      </c>
      <c r="E166" s="61" t="s">
        <v>386</v>
      </c>
      <c r="F166" s="58">
        <v>1</v>
      </c>
      <c r="G166" s="58" t="s">
        <v>368</v>
      </c>
    </row>
    <row r="167" spans="1:7" x14ac:dyDescent="0.25">
      <c r="A167" s="57">
        <v>161</v>
      </c>
      <c r="B167" s="57" t="s">
        <v>387</v>
      </c>
      <c r="C167" s="57" t="s">
        <v>303</v>
      </c>
      <c r="D167" s="58" t="s">
        <v>366</v>
      </c>
      <c r="E167" s="61" t="s">
        <v>546</v>
      </c>
      <c r="F167" s="58">
        <v>1</v>
      </c>
      <c r="G167" s="58" t="s">
        <v>368</v>
      </c>
    </row>
    <row r="168" spans="1:7" ht="30" x14ac:dyDescent="0.25">
      <c r="A168" s="57">
        <v>162</v>
      </c>
      <c r="B168" s="57" t="s">
        <v>389</v>
      </c>
      <c r="C168" s="57" t="s">
        <v>303</v>
      </c>
      <c r="D168" s="58" t="s">
        <v>366</v>
      </c>
      <c r="E168" s="61" t="s">
        <v>390</v>
      </c>
      <c r="F168" s="58">
        <v>1</v>
      </c>
      <c r="G168" s="58" t="s">
        <v>368</v>
      </c>
    </row>
    <row r="169" spans="1:7" x14ac:dyDescent="0.25">
      <c r="A169" s="57">
        <v>163</v>
      </c>
      <c r="B169" s="57" t="s">
        <v>391</v>
      </c>
      <c r="C169" s="57" t="s">
        <v>303</v>
      </c>
      <c r="D169" s="58" t="s">
        <v>366</v>
      </c>
      <c r="E169" s="61" t="s">
        <v>391</v>
      </c>
      <c r="F169" s="58">
        <v>1</v>
      </c>
      <c r="G169" s="58" t="s">
        <v>368</v>
      </c>
    </row>
    <row r="170" spans="1:7" x14ac:dyDescent="0.25">
      <c r="A170" s="57">
        <v>164</v>
      </c>
      <c r="B170" s="57" t="s">
        <v>392</v>
      </c>
      <c r="C170" s="57" t="s">
        <v>303</v>
      </c>
      <c r="D170" s="58" t="s">
        <v>366</v>
      </c>
      <c r="E170" s="61" t="s">
        <v>393</v>
      </c>
      <c r="F170" s="58">
        <v>1</v>
      </c>
      <c r="G170" s="58" t="s">
        <v>368</v>
      </c>
    </row>
    <row r="171" spans="1:7" x14ac:dyDescent="0.25">
      <c r="A171" s="57">
        <v>165</v>
      </c>
      <c r="B171" s="57" t="s">
        <v>394</v>
      </c>
      <c r="C171" s="57" t="s">
        <v>303</v>
      </c>
      <c r="D171" s="58" t="s">
        <v>366</v>
      </c>
      <c r="E171" s="61" t="s">
        <v>395</v>
      </c>
      <c r="F171" s="58">
        <v>1</v>
      </c>
      <c r="G171" s="58" t="s">
        <v>368</v>
      </c>
    </row>
    <row r="172" spans="1:7" x14ac:dyDescent="0.25">
      <c r="A172" s="57">
        <v>166</v>
      </c>
      <c r="B172" s="57" t="s">
        <v>396</v>
      </c>
      <c r="C172" s="57" t="s">
        <v>303</v>
      </c>
      <c r="D172" s="58" t="s">
        <v>366</v>
      </c>
      <c r="E172" s="61" t="s">
        <v>547</v>
      </c>
      <c r="F172" s="58">
        <v>1</v>
      </c>
      <c r="G172" s="58" t="s">
        <v>368</v>
      </c>
    </row>
    <row r="173" spans="1:7" x14ac:dyDescent="0.25">
      <c r="A173" s="57">
        <v>167</v>
      </c>
      <c r="B173" s="57" t="s">
        <v>398</v>
      </c>
      <c r="C173" s="57" t="s">
        <v>303</v>
      </c>
      <c r="D173" s="58" t="s">
        <v>366</v>
      </c>
      <c r="E173" s="61" t="s">
        <v>548</v>
      </c>
      <c r="F173" s="58">
        <v>1</v>
      </c>
      <c r="G173" s="58" t="s">
        <v>368</v>
      </c>
    </row>
    <row r="174" spans="1:7" x14ac:dyDescent="0.25">
      <c r="A174" s="57">
        <v>168</v>
      </c>
      <c r="B174" s="57" t="s">
        <v>400</v>
      </c>
      <c r="C174" s="57" t="s">
        <v>303</v>
      </c>
      <c r="D174" s="58" t="s">
        <v>366</v>
      </c>
      <c r="E174" s="61" t="s">
        <v>400</v>
      </c>
      <c r="F174" s="58">
        <v>1</v>
      </c>
      <c r="G174" s="58" t="s">
        <v>368</v>
      </c>
    </row>
    <row r="175" spans="1:7" x14ac:dyDescent="0.25">
      <c r="A175" s="57">
        <v>169</v>
      </c>
      <c r="B175" s="57" t="s">
        <v>402</v>
      </c>
      <c r="C175" s="57" t="s">
        <v>303</v>
      </c>
      <c r="D175" s="58" t="s">
        <v>366</v>
      </c>
      <c r="E175" s="61" t="s">
        <v>402</v>
      </c>
      <c r="F175" s="58">
        <v>1</v>
      </c>
      <c r="G175" s="58" t="s">
        <v>368</v>
      </c>
    </row>
    <row r="176" spans="1:7" x14ac:dyDescent="0.25">
      <c r="A176" s="57">
        <v>170</v>
      </c>
      <c r="B176" s="57" t="s">
        <v>381</v>
      </c>
      <c r="C176" s="57" t="s">
        <v>345</v>
      </c>
      <c r="D176" s="58" t="s">
        <v>366</v>
      </c>
      <c r="E176" s="61" t="s">
        <v>549</v>
      </c>
      <c r="F176" s="58">
        <v>1</v>
      </c>
      <c r="G176" s="58" t="s">
        <v>368</v>
      </c>
    </row>
    <row r="177" spans="1:7" x14ac:dyDescent="0.25">
      <c r="A177" s="57">
        <v>171</v>
      </c>
      <c r="B177" s="57" t="s">
        <v>383</v>
      </c>
      <c r="C177" s="57" t="s">
        <v>345</v>
      </c>
      <c r="D177" s="58" t="s">
        <v>366</v>
      </c>
      <c r="E177" s="61" t="s">
        <v>458</v>
      </c>
      <c r="F177" s="58">
        <v>1</v>
      </c>
      <c r="G177" s="58" t="s">
        <v>368</v>
      </c>
    </row>
    <row r="178" spans="1:7" x14ac:dyDescent="0.25">
      <c r="A178" s="57">
        <v>172</v>
      </c>
      <c r="B178" s="57" t="s">
        <v>387</v>
      </c>
      <c r="C178" s="57" t="s">
        <v>345</v>
      </c>
      <c r="D178" s="58" t="s">
        <v>366</v>
      </c>
      <c r="E178" s="61" t="s">
        <v>550</v>
      </c>
      <c r="F178" s="58">
        <v>1</v>
      </c>
      <c r="G178" s="58" t="s">
        <v>368</v>
      </c>
    </row>
    <row r="179" spans="1:7" x14ac:dyDescent="0.25">
      <c r="A179" s="57">
        <v>173</v>
      </c>
      <c r="B179" s="57" t="s">
        <v>445</v>
      </c>
      <c r="C179" s="57" t="s">
        <v>345</v>
      </c>
      <c r="D179" s="58" t="s">
        <v>366</v>
      </c>
      <c r="E179" s="61" t="s">
        <v>551</v>
      </c>
      <c r="F179" s="58">
        <v>1</v>
      </c>
      <c r="G179" s="58" t="s">
        <v>368</v>
      </c>
    </row>
    <row r="180" spans="1:7" x14ac:dyDescent="0.25">
      <c r="A180" s="57">
        <v>174</v>
      </c>
      <c r="B180" s="57" t="s">
        <v>447</v>
      </c>
      <c r="C180" s="57" t="s">
        <v>345</v>
      </c>
      <c r="D180" s="58" t="s">
        <v>366</v>
      </c>
      <c r="E180" s="61" t="s">
        <v>552</v>
      </c>
      <c r="F180" s="58">
        <v>1</v>
      </c>
      <c r="G180" s="58" t="s">
        <v>368</v>
      </c>
    </row>
    <row r="181" spans="1:7" x14ac:dyDescent="0.25">
      <c r="A181" s="57">
        <v>175</v>
      </c>
      <c r="B181" s="57" t="s">
        <v>449</v>
      </c>
      <c r="C181" s="57" t="s">
        <v>345</v>
      </c>
      <c r="D181" s="58" t="s">
        <v>366</v>
      </c>
      <c r="E181" s="61" t="s">
        <v>450</v>
      </c>
      <c r="F181" s="58">
        <v>1</v>
      </c>
      <c r="G181" s="58" t="s">
        <v>368</v>
      </c>
    </row>
    <row r="182" spans="1:7" x14ac:dyDescent="0.25">
      <c r="A182" s="57">
        <v>176</v>
      </c>
      <c r="B182" s="57" t="s">
        <v>451</v>
      </c>
      <c r="C182" s="57" t="s">
        <v>345</v>
      </c>
      <c r="D182" s="58" t="s">
        <v>366</v>
      </c>
      <c r="E182" s="61" t="s">
        <v>553</v>
      </c>
      <c r="F182" s="58">
        <v>1</v>
      </c>
      <c r="G182" s="58" t="s">
        <v>368</v>
      </c>
    </row>
    <row r="183" spans="1:7" x14ac:dyDescent="0.25">
      <c r="A183" s="57">
        <v>177</v>
      </c>
      <c r="B183" s="57" t="s">
        <v>453</v>
      </c>
      <c r="C183" s="57" t="s">
        <v>345</v>
      </c>
      <c r="D183" s="58" t="s">
        <v>366</v>
      </c>
      <c r="E183" s="61" t="s">
        <v>450</v>
      </c>
      <c r="F183" s="58">
        <v>1</v>
      </c>
      <c r="G183" s="58" t="s">
        <v>368</v>
      </c>
    </row>
    <row r="184" spans="1:7" x14ac:dyDescent="0.25">
      <c r="A184" s="57">
        <v>178</v>
      </c>
      <c r="B184" s="57" t="s">
        <v>392</v>
      </c>
      <c r="C184" s="57" t="s">
        <v>345</v>
      </c>
      <c r="D184" s="58" t="s">
        <v>366</v>
      </c>
      <c r="E184" s="61" t="s">
        <v>466</v>
      </c>
      <c r="F184" s="58">
        <v>1</v>
      </c>
      <c r="G184" s="58" t="s">
        <v>368</v>
      </c>
    </row>
    <row r="185" spans="1:7" x14ac:dyDescent="0.25">
      <c r="A185" s="57">
        <v>179</v>
      </c>
      <c r="B185" s="57" t="s">
        <v>394</v>
      </c>
      <c r="C185" s="57" t="s">
        <v>345</v>
      </c>
      <c r="D185" s="58" t="s">
        <v>366</v>
      </c>
      <c r="E185" s="61" t="s">
        <v>554</v>
      </c>
      <c r="F185" s="58">
        <v>1</v>
      </c>
      <c r="G185" s="58" t="s">
        <v>368</v>
      </c>
    </row>
    <row r="186" spans="1:7" x14ac:dyDescent="0.25">
      <c r="A186" s="57">
        <v>180</v>
      </c>
      <c r="B186" s="57" t="s">
        <v>456</v>
      </c>
      <c r="C186" s="57" t="s">
        <v>345</v>
      </c>
      <c r="D186" s="58" t="s">
        <v>366</v>
      </c>
      <c r="E186" s="61" t="s">
        <v>454</v>
      </c>
      <c r="F186" s="58">
        <v>1</v>
      </c>
      <c r="G186" s="58" t="s">
        <v>368</v>
      </c>
    </row>
    <row r="187" spans="1:7" x14ac:dyDescent="0.25">
      <c r="A187" s="57">
        <v>181</v>
      </c>
      <c r="B187" s="57" t="s">
        <v>457</v>
      </c>
      <c r="C187" s="57" t="s">
        <v>345</v>
      </c>
      <c r="D187" s="58" t="s">
        <v>366</v>
      </c>
      <c r="E187" s="61" t="s">
        <v>458</v>
      </c>
      <c r="F187" s="58">
        <v>1</v>
      </c>
      <c r="G187" s="58" t="s">
        <v>368</v>
      </c>
    </row>
    <row r="188" spans="1:7" ht="30" x14ac:dyDescent="0.25">
      <c r="A188" s="57">
        <v>182</v>
      </c>
      <c r="B188" s="57" t="s">
        <v>365</v>
      </c>
      <c r="C188" s="57" t="s">
        <v>349</v>
      </c>
      <c r="D188" s="58" t="s">
        <v>366</v>
      </c>
      <c r="E188" s="61" t="s">
        <v>555</v>
      </c>
      <c r="F188" s="58">
        <v>20</v>
      </c>
      <c r="G188" s="58" t="s">
        <v>368</v>
      </c>
    </row>
    <row r="189" spans="1:7" x14ac:dyDescent="0.25">
      <c r="A189" s="57">
        <v>183</v>
      </c>
      <c r="B189" s="57" t="s">
        <v>369</v>
      </c>
      <c r="C189" s="57" t="s">
        <v>349</v>
      </c>
      <c r="D189" s="58" t="s">
        <v>366</v>
      </c>
      <c r="E189" s="61" t="s">
        <v>556</v>
      </c>
      <c r="F189" s="58">
        <v>20</v>
      </c>
      <c r="G189" s="58" t="s">
        <v>368</v>
      </c>
    </row>
    <row r="190" spans="1:7" ht="45" x14ac:dyDescent="0.25">
      <c r="A190" s="57">
        <v>184</v>
      </c>
      <c r="B190" s="57" t="s">
        <v>371</v>
      </c>
      <c r="C190" s="57" t="s">
        <v>349</v>
      </c>
      <c r="D190" s="58" t="s">
        <v>366</v>
      </c>
      <c r="E190" s="61" t="s">
        <v>557</v>
      </c>
      <c r="F190" s="58">
        <v>1</v>
      </c>
      <c r="G190" s="58" t="s">
        <v>368</v>
      </c>
    </row>
    <row r="191" spans="1:7" ht="45" x14ac:dyDescent="0.25">
      <c r="A191" s="57">
        <v>185</v>
      </c>
      <c r="B191" s="57" t="s">
        <v>373</v>
      </c>
      <c r="C191" s="57" t="s">
        <v>349</v>
      </c>
      <c r="D191" s="58" t="s">
        <v>366</v>
      </c>
      <c r="E191" s="61" t="s">
        <v>558</v>
      </c>
      <c r="F191" s="58">
        <v>1</v>
      </c>
      <c r="G191" s="58" t="s">
        <v>368</v>
      </c>
    </row>
    <row r="192" spans="1:7" x14ac:dyDescent="0.25">
      <c r="A192" s="57">
        <v>186</v>
      </c>
      <c r="B192" s="57" t="s">
        <v>375</v>
      </c>
      <c r="C192" s="57" t="s">
        <v>349</v>
      </c>
      <c r="D192" s="58" t="s">
        <v>366</v>
      </c>
      <c r="E192" s="61" t="s">
        <v>559</v>
      </c>
      <c r="F192" s="58">
        <v>1</v>
      </c>
      <c r="G192" s="58" t="s">
        <v>368</v>
      </c>
    </row>
    <row r="193" spans="1:7" x14ac:dyDescent="0.25">
      <c r="A193" s="57">
        <v>187</v>
      </c>
      <c r="B193" s="57" t="s">
        <v>381</v>
      </c>
      <c r="C193" s="57" t="s">
        <v>349</v>
      </c>
      <c r="D193" s="58" t="s">
        <v>366</v>
      </c>
      <c r="E193" s="61" t="s">
        <v>560</v>
      </c>
      <c r="F193" s="58">
        <v>1</v>
      </c>
      <c r="G193" s="58" t="s">
        <v>368</v>
      </c>
    </row>
    <row r="194" spans="1:7" x14ac:dyDescent="0.25">
      <c r="A194" s="57">
        <v>188</v>
      </c>
      <c r="B194" s="57" t="s">
        <v>385</v>
      </c>
      <c r="C194" s="57" t="s">
        <v>349</v>
      </c>
      <c r="D194" s="58" t="s">
        <v>366</v>
      </c>
      <c r="E194" s="61" t="s">
        <v>508</v>
      </c>
      <c r="F194" s="58">
        <v>1</v>
      </c>
      <c r="G194" s="58" t="s">
        <v>368</v>
      </c>
    </row>
    <row r="195" spans="1:7" x14ac:dyDescent="0.25">
      <c r="A195" s="57">
        <v>189</v>
      </c>
      <c r="B195" s="57" t="s">
        <v>389</v>
      </c>
      <c r="C195" s="57" t="s">
        <v>349</v>
      </c>
      <c r="D195" s="58" t="s">
        <v>366</v>
      </c>
      <c r="E195" s="61" t="s">
        <v>561</v>
      </c>
      <c r="F195" s="58">
        <v>3</v>
      </c>
      <c r="G195" s="58" t="s">
        <v>368</v>
      </c>
    </row>
    <row r="196" spans="1:7" x14ac:dyDescent="0.25">
      <c r="A196" s="57">
        <v>190</v>
      </c>
      <c r="B196" s="57" t="s">
        <v>562</v>
      </c>
      <c r="C196" s="57" t="s">
        <v>349</v>
      </c>
      <c r="D196" s="58" t="s">
        <v>366</v>
      </c>
      <c r="E196" s="61" t="s">
        <v>563</v>
      </c>
      <c r="F196" s="58">
        <v>2</v>
      </c>
      <c r="G196" s="58" t="s">
        <v>368</v>
      </c>
    </row>
    <row r="197" spans="1:7" ht="45" x14ac:dyDescent="0.25">
      <c r="A197" s="57">
        <v>191</v>
      </c>
      <c r="B197" s="57" t="s">
        <v>564</v>
      </c>
      <c r="C197" s="57" t="s">
        <v>349</v>
      </c>
      <c r="D197" s="58" t="s">
        <v>366</v>
      </c>
      <c r="E197" s="61" t="s">
        <v>565</v>
      </c>
      <c r="F197" s="58">
        <v>1</v>
      </c>
      <c r="G197" s="58" t="s">
        <v>368</v>
      </c>
    </row>
    <row r="198" spans="1:7" x14ac:dyDescent="0.25">
      <c r="A198" s="57">
        <v>192</v>
      </c>
      <c r="B198" s="57" t="s">
        <v>392</v>
      </c>
      <c r="C198" s="57" t="s">
        <v>349</v>
      </c>
      <c r="D198" s="58" t="s">
        <v>366</v>
      </c>
      <c r="E198" s="61" t="s">
        <v>566</v>
      </c>
      <c r="F198" s="58">
        <v>8</v>
      </c>
      <c r="G198" s="58" t="s">
        <v>368</v>
      </c>
    </row>
    <row r="199" spans="1:7" x14ac:dyDescent="0.25">
      <c r="A199" s="57">
        <v>193</v>
      </c>
      <c r="B199" s="57" t="s">
        <v>567</v>
      </c>
      <c r="C199" s="57" t="s">
        <v>349</v>
      </c>
      <c r="D199" s="58" t="s">
        <v>366</v>
      </c>
      <c r="E199" s="61" t="s">
        <v>568</v>
      </c>
      <c r="F199" s="58">
        <v>1</v>
      </c>
      <c r="G199" s="58" t="s">
        <v>368</v>
      </c>
    </row>
    <row r="200" spans="1:7" x14ac:dyDescent="0.25">
      <c r="A200" s="57">
        <v>194</v>
      </c>
      <c r="B200" s="57" t="s">
        <v>569</v>
      </c>
      <c r="C200" s="57" t="s">
        <v>349</v>
      </c>
      <c r="D200" s="58" t="s">
        <v>366</v>
      </c>
      <c r="E200" s="61" t="s">
        <v>570</v>
      </c>
      <c r="F200" s="58">
        <v>2</v>
      </c>
      <c r="G200" s="58" t="s">
        <v>368</v>
      </c>
    </row>
    <row r="201" spans="1:7" x14ac:dyDescent="0.25">
      <c r="A201" s="57">
        <v>195</v>
      </c>
      <c r="B201" s="57" t="s">
        <v>394</v>
      </c>
      <c r="C201" s="57" t="s">
        <v>349</v>
      </c>
      <c r="D201" s="58" t="s">
        <v>366</v>
      </c>
      <c r="E201" s="61" t="s">
        <v>395</v>
      </c>
      <c r="F201" s="58">
        <v>1</v>
      </c>
      <c r="G201" s="58" t="s">
        <v>368</v>
      </c>
    </row>
    <row r="202" spans="1:7" x14ac:dyDescent="0.25">
      <c r="A202" s="57">
        <v>196</v>
      </c>
      <c r="B202" s="57" t="s">
        <v>394</v>
      </c>
      <c r="C202" s="57" t="s">
        <v>349</v>
      </c>
      <c r="D202" s="58" t="s">
        <v>366</v>
      </c>
      <c r="E202" s="61" t="s">
        <v>571</v>
      </c>
      <c r="F202" s="58">
        <v>2</v>
      </c>
      <c r="G202" s="58" t="s">
        <v>368</v>
      </c>
    </row>
    <row r="203" spans="1:7" x14ac:dyDescent="0.25">
      <c r="A203" s="57">
        <v>197</v>
      </c>
      <c r="B203" s="57" t="s">
        <v>572</v>
      </c>
      <c r="C203" s="57" t="s">
        <v>349</v>
      </c>
      <c r="D203" s="58" t="s">
        <v>573</v>
      </c>
      <c r="E203" s="61" t="s">
        <v>574</v>
      </c>
      <c r="F203" s="58">
        <v>1</v>
      </c>
      <c r="G203" s="58" t="s">
        <v>368</v>
      </c>
    </row>
    <row r="204" spans="1:7" x14ac:dyDescent="0.25">
      <c r="A204" s="57">
        <v>198</v>
      </c>
      <c r="B204" s="57" t="s">
        <v>396</v>
      </c>
      <c r="C204" s="57" t="s">
        <v>349</v>
      </c>
      <c r="D204" s="58" t="s">
        <v>366</v>
      </c>
      <c r="E204" s="61" t="s">
        <v>575</v>
      </c>
      <c r="F204" s="58">
        <v>10</v>
      </c>
      <c r="G204" s="58" t="s">
        <v>368</v>
      </c>
    </row>
    <row r="205" spans="1:7" x14ac:dyDescent="0.25">
      <c r="A205" s="57">
        <v>199</v>
      </c>
      <c r="B205" s="57" t="s">
        <v>576</v>
      </c>
      <c r="C205" s="57" t="s">
        <v>349</v>
      </c>
      <c r="D205" s="58" t="s">
        <v>366</v>
      </c>
      <c r="E205" s="61" t="s">
        <v>577</v>
      </c>
      <c r="F205" s="58">
        <v>1</v>
      </c>
      <c r="G205" s="58" t="s">
        <v>368</v>
      </c>
    </row>
    <row r="206" spans="1:7" x14ac:dyDescent="0.25">
      <c r="A206" s="57">
        <v>200</v>
      </c>
      <c r="B206" s="57" t="s">
        <v>71</v>
      </c>
      <c r="C206" s="57" t="s">
        <v>349</v>
      </c>
      <c r="D206" s="58" t="s">
        <v>366</v>
      </c>
      <c r="E206" s="61" t="s">
        <v>578</v>
      </c>
      <c r="F206" s="58">
        <v>1</v>
      </c>
      <c r="G206" s="58" t="s">
        <v>368</v>
      </c>
    </row>
    <row r="207" spans="1:7" x14ac:dyDescent="0.25">
      <c r="A207" s="57">
        <v>201</v>
      </c>
      <c r="B207" s="57" t="s">
        <v>579</v>
      </c>
      <c r="C207" s="57" t="s">
        <v>349</v>
      </c>
      <c r="D207" s="58" t="s">
        <v>366</v>
      </c>
      <c r="E207" s="61" t="s">
        <v>580</v>
      </c>
      <c r="F207" s="58">
        <v>1</v>
      </c>
      <c r="G207" s="58" t="s">
        <v>368</v>
      </c>
    </row>
    <row r="208" spans="1:7" x14ac:dyDescent="0.25">
      <c r="A208" s="57">
        <v>202</v>
      </c>
      <c r="B208" s="57" t="s">
        <v>581</v>
      </c>
      <c r="C208" s="57" t="s">
        <v>349</v>
      </c>
      <c r="D208" s="58" t="s">
        <v>366</v>
      </c>
      <c r="E208" s="61" t="s">
        <v>582</v>
      </c>
      <c r="F208" s="58">
        <v>1</v>
      </c>
      <c r="G208" s="58" t="s">
        <v>368</v>
      </c>
    </row>
    <row r="209" spans="1:7" ht="30" x14ac:dyDescent="0.25">
      <c r="A209" s="57">
        <v>203</v>
      </c>
      <c r="B209" s="57" t="s">
        <v>583</v>
      </c>
      <c r="C209" s="57" t="s">
        <v>349</v>
      </c>
      <c r="D209" s="58" t="s">
        <v>366</v>
      </c>
      <c r="E209" s="61" t="s">
        <v>584</v>
      </c>
      <c r="F209" s="58">
        <v>1</v>
      </c>
      <c r="G209" s="58" t="s">
        <v>368</v>
      </c>
    </row>
    <row r="210" spans="1:7" ht="45" x14ac:dyDescent="0.25">
      <c r="A210" s="57">
        <v>204</v>
      </c>
      <c r="B210" s="57" t="s">
        <v>585</v>
      </c>
      <c r="C210" s="57" t="s">
        <v>349</v>
      </c>
      <c r="D210" s="58" t="s">
        <v>366</v>
      </c>
      <c r="E210" s="61" t="s">
        <v>586</v>
      </c>
      <c r="F210" s="58">
        <v>1</v>
      </c>
      <c r="G210" s="58" t="s">
        <v>368</v>
      </c>
    </row>
    <row r="211" spans="1:7" x14ac:dyDescent="0.25">
      <c r="A211" s="57">
        <v>205</v>
      </c>
      <c r="B211" s="57" t="s">
        <v>400</v>
      </c>
      <c r="C211" s="57" t="s">
        <v>349</v>
      </c>
      <c r="D211" s="58" t="s">
        <v>366</v>
      </c>
      <c r="E211" s="61" t="s">
        <v>587</v>
      </c>
      <c r="F211" s="58">
        <v>1</v>
      </c>
      <c r="G211" s="58" t="s">
        <v>368</v>
      </c>
    </row>
    <row r="212" spans="1:7" x14ac:dyDescent="0.25">
      <c r="A212" s="57">
        <v>206</v>
      </c>
      <c r="B212" s="57" t="s">
        <v>402</v>
      </c>
      <c r="C212" s="57" t="s">
        <v>349</v>
      </c>
      <c r="D212" s="58" t="s">
        <v>366</v>
      </c>
      <c r="E212" s="61" t="s">
        <v>588</v>
      </c>
      <c r="F212" s="58">
        <v>1</v>
      </c>
      <c r="G212" s="58" t="s">
        <v>368</v>
      </c>
    </row>
    <row r="213" spans="1:7" x14ac:dyDescent="0.25">
      <c r="A213" s="57">
        <v>207</v>
      </c>
      <c r="B213" s="57" t="s">
        <v>589</v>
      </c>
      <c r="C213" s="57" t="s">
        <v>349</v>
      </c>
      <c r="D213" s="58" t="s">
        <v>366</v>
      </c>
      <c r="E213" s="61" t="s">
        <v>590</v>
      </c>
      <c r="F213" s="58">
        <v>8</v>
      </c>
      <c r="G213" s="58" t="s">
        <v>368</v>
      </c>
    </row>
    <row r="214" spans="1:7" x14ac:dyDescent="0.25">
      <c r="A214" s="57">
        <v>208</v>
      </c>
      <c r="B214" s="57" t="s">
        <v>591</v>
      </c>
      <c r="C214" s="57" t="s">
        <v>349</v>
      </c>
      <c r="D214" s="58" t="s">
        <v>366</v>
      </c>
      <c r="E214" s="61" t="s">
        <v>590</v>
      </c>
      <c r="F214" s="58">
        <v>1</v>
      </c>
      <c r="G214" s="58" t="s">
        <v>368</v>
      </c>
    </row>
    <row r="215" spans="1:7" x14ac:dyDescent="0.25">
      <c r="A215" s="57">
        <v>209</v>
      </c>
      <c r="B215" s="57" t="s">
        <v>381</v>
      </c>
      <c r="C215" s="57" t="s">
        <v>343</v>
      </c>
      <c r="D215" s="58" t="s">
        <v>366</v>
      </c>
      <c r="E215" s="61" t="s">
        <v>382</v>
      </c>
      <c r="F215" s="58">
        <v>1</v>
      </c>
      <c r="G215" s="58" t="s">
        <v>368</v>
      </c>
    </row>
    <row r="216" spans="1:7" x14ac:dyDescent="0.25">
      <c r="A216" s="57">
        <v>210</v>
      </c>
      <c r="B216" s="57" t="s">
        <v>387</v>
      </c>
      <c r="C216" s="57" t="s">
        <v>343</v>
      </c>
      <c r="D216" s="58" t="s">
        <v>366</v>
      </c>
      <c r="E216" s="61" t="s">
        <v>592</v>
      </c>
      <c r="F216" s="58">
        <v>1</v>
      </c>
      <c r="G216" s="58" t="s">
        <v>368</v>
      </c>
    </row>
    <row r="217" spans="1:7" x14ac:dyDescent="0.25">
      <c r="A217" s="57">
        <v>211</v>
      </c>
      <c r="B217" s="57" t="s">
        <v>445</v>
      </c>
      <c r="C217" s="57" t="s">
        <v>343</v>
      </c>
      <c r="D217" s="58" t="s">
        <v>366</v>
      </c>
      <c r="E217" s="61" t="s">
        <v>593</v>
      </c>
      <c r="F217" s="58">
        <v>1</v>
      </c>
      <c r="G217" s="58" t="s">
        <v>368</v>
      </c>
    </row>
    <row r="218" spans="1:7" x14ac:dyDescent="0.25">
      <c r="A218" s="57">
        <v>212</v>
      </c>
      <c r="B218" s="57" t="s">
        <v>447</v>
      </c>
      <c r="C218" s="57" t="s">
        <v>343</v>
      </c>
      <c r="D218" s="58" t="s">
        <v>366</v>
      </c>
      <c r="E218" s="61" t="s">
        <v>594</v>
      </c>
      <c r="F218" s="58">
        <v>1</v>
      </c>
      <c r="G218" s="58" t="s">
        <v>368</v>
      </c>
    </row>
    <row r="219" spans="1:7" x14ac:dyDescent="0.25">
      <c r="A219" s="57">
        <v>213</v>
      </c>
      <c r="B219" s="57" t="s">
        <v>449</v>
      </c>
      <c r="C219" s="57" t="s">
        <v>343</v>
      </c>
      <c r="D219" s="58" t="s">
        <v>366</v>
      </c>
      <c r="E219" s="61" t="s">
        <v>454</v>
      </c>
      <c r="F219" s="58">
        <v>1</v>
      </c>
      <c r="G219" s="58" t="s">
        <v>368</v>
      </c>
    </row>
    <row r="220" spans="1:7" x14ac:dyDescent="0.25">
      <c r="A220" s="57">
        <v>214</v>
      </c>
      <c r="B220" s="57" t="s">
        <v>451</v>
      </c>
      <c r="C220" s="57" t="s">
        <v>343</v>
      </c>
      <c r="D220" s="58" t="s">
        <v>366</v>
      </c>
      <c r="E220" s="61" t="s">
        <v>595</v>
      </c>
      <c r="F220" s="58">
        <v>1</v>
      </c>
      <c r="G220" s="58" t="s">
        <v>368</v>
      </c>
    </row>
    <row r="221" spans="1:7" x14ac:dyDescent="0.25">
      <c r="A221" s="57">
        <v>215</v>
      </c>
      <c r="B221" s="57" t="s">
        <v>453</v>
      </c>
      <c r="C221" s="57" t="s">
        <v>343</v>
      </c>
      <c r="D221" s="58" t="s">
        <v>366</v>
      </c>
      <c r="E221" s="61" t="s">
        <v>454</v>
      </c>
      <c r="F221" s="58">
        <v>1</v>
      </c>
      <c r="G221" s="58" t="s">
        <v>368</v>
      </c>
    </row>
    <row r="222" spans="1:7" x14ac:dyDescent="0.25">
      <c r="A222" s="57">
        <v>216</v>
      </c>
      <c r="B222" s="57" t="s">
        <v>392</v>
      </c>
      <c r="C222" s="57" t="s">
        <v>343</v>
      </c>
      <c r="D222" s="58" t="s">
        <v>366</v>
      </c>
      <c r="E222" s="61" t="s">
        <v>473</v>
      </c>
      <c r="F222" s="58">
        <v>1</v>
      </c>
      <c r="G222" s="58" t="s">
        <v>368</v>
      </c>
    </row>
    <row r="223" spans="1:7" x14ac:dyDescent="0.25">
      <c r="A223" s="57">
        <v>217</v>
      </c>
      <c r="B223" s="57" t="s">
        <v>394</v>
      </c>
      <c r="C223" s="57" t="s">
        <v>343</v>
      </c>
      <c r="D223" s="58" t="s">
        <v>366</v>
      </c>
      <c r="E223" s="61" t="s">
        <v>596</v>
      </c>
      <c r="F223" s="58">
        <v>1</v>
      </c>
      <c r="G223" s="58" t="s">
        <v>368</v>
      </c>
    </row>
    <row r="224" spans="1:7" x14ac:dyDescent="0.25">
      <c r="A224" s="57">
        <v>218</v>
      </c>
      <c r="B224" s="57" t="s">
        <v>456</v>
      </c>
      <c r="C224" s="57" t="s">
        <v>343</v>
      </c>
      <c r="D224" s="58" t="s">
        <v>366</v>
      </c>
      <c r="E224" s="61" t="s">
        <v>454</v>
      </c>
      <c r="F224" s="58">
        <v>1</v>
      </c>
      <c r="G224" s="58" t="s">
        <v>368</v>
      </c>
    </row>
    <row r="225" spans="1:7" x14ac:dyDescent="0.25">
      <c r="A225" s="57">
        <v>219</v>
      </c>
      <c r="B225" s="57" t="s">
        <v>457</v>
      </c>
      <c r="C225" s="57" t="s">
        <v>343</v>
      </c>
      <c r="D225" s="58" t="s">
        <v>366</v>
      </c>
      <c r="E225" s="61" t="s">
        <v>458</v>
      </c>
      <c r="F225" s="58">
        <v>1</v>
      </c>
      <c r="G225" s="58" t="s">
        <v>368</v>
      </c>
    </row>
    <row r="226" spans="1:7" ht="30" x14ac:dyDescent="0.25">
      <c r="A226" s="57">
        <v>220</v>
      </c>
      <c r="B226" s="57" t="s">
        <v>371</v>
      </c>
      <c r="C226" s="57" t="s">
        <v>354</v>
      </c>
      <c r="D226" s="58" t="s">
        <v>366</v>
      </c>
      <c r="E226" s="61" t="s">
        <v>540</v>
      </c>
      <c r="F226" s="58">
        <v>0</v>
      </c>
      <c r="G226" s="58" t="s">
        <v>518</v>
      </c>
    </row>
    <row r="227" spans="1:7" ht="45" x14ac:dyDescent="0.25">
      <c r="A227" s="57">
        <v>221</v>
      </c>
      <c r="B227" s="57" t="s">
        <v>373</v>
      </c>
      <c r="C227" s="57" t="s">
        <v>354</v>
      </c>
      <c r="D227" s="58" t="s">
        <v>366</v>
      </c>
      <c r="E227" s="61" t="s">
        <v>541</v>
      </c>
      <c r="F227" s="58">
        <v>0</v>
      </c>
      <c r="G227" s="58" t="s">
        <v>518</v>
      </c>
    </row>
    <row r="228" spans="1:7" ht="30" x14ac:dyDescent="0.25">
      <c r="A228" s="57">
        <v>222</v>
      </c>
      <c r="B228" s="57" t="s">
        <v>375</v>
      </c>
      <c r="C228" s="57" t="s">
        <v>354</v>
      </c>
      <c r="D228" s="58" t="s">
        <v>366</v>
      </c>
      <c r="E228" s="61" t="s">
        <v>542</v>
      </c>
      <c r="F228" s="58">
        <v>1</v>
      </c>
      <c r="G228" s="58" t="s">
        <v>368</v>
      </c>
    </row>
    <row r="229" spans="1:7" x14ac:dyDescent="0.25">
      <c r="A229" s="57">
        <v>223</v>
      </c>
      <c r="B229" s="57" t="s">
        <v>377</v>
      </c>
      <c r="C229" s="57" t="s">
        <v>354</v>
      </c>
      <c r="D229" s="58" t="s">
        <v>366</v>
      </c>
      <c r="E229" s="61" t="s">
        <v>597</v>
      </c>
      <c r="F229" s="58">
        <v>0</v>
      </c>
      <c r="G229" s="58" t="s">
        <v>518</v>
      </c>
    </row>
    <row r="230" spans="1:7" x14ac:dyDescent="0.25">
      <c r="A230" s="57">
        <v>224</v>
      </c>
      <c r="B230" s="57" t="s">
        <v>381</v>
      </c>
      <c r="C230" s="57" t="s">
        <v>354</v>
      </c>
      <c r="D230" s="58" t="s">
        <v>366</v>
      </c>
      <c r="E230" s="61" t="s">
        <v>476</v>
      </c>
      <c r="F230" s="58">
        <v>1</v>
      </c>
      <c r="G230" s="58" t="s">
        <v>368</v>
      </c>
    </row>
    <row r="231" spans="1:7" x14ac:dyDescent="0.25">
      <c r="A231" s="57">
        <v>225</v>
      </c>
      <c r="B231" s="57" t="s">
        <v>383</v>
      </c>
      <c r="C231" s="57" t="s">
        <v>354</v>
      </c>
      <c r="D231" s="58" t="s">
        <v>366</v>
      </c>
      <c r="E231" s="61" t="s">
        <v>598</v>
      </c>
      <c r="F231" s="58">
        <v>1</v>
      </c>
      <c r="G231" s="58" t="s">
        <v>368</v>
      </c>
    </row>
    <row r="232" spans="1:7" x14ac:dyDescent="0.25">
      <c r="A232" s="57">
        <v>226</v>
      </c>
      <c r="B232" s="57" t="s">
        <v>385</v>
      </c>
      <c r="C232" s="57" t="s">
        <v>354</v>
      </c>
      <c r="D232" s="58" t="s">
        <v>366</v>
      </c>
      <c r="E232" s="61" t="s">
        <v>599</v>
      </c>
      <c r="F232" s="58">
        <v>1</v>
      </c>
      <c r="G232" s="58" t="s">
        <v>368</v>
      </c>
    </row>
    <row r="233" spans="1:7" ht="15" customHeight="1" x14ac:dyDescent="0.25">
      <c r="A233" s="57">
        <v>227</v>
      </c>
      <c r="B233" s="57" t="s">
        <v>387</v>
      </c>
      <c r="C233" s="57" t="s">
        <v>354</v>
      </c>
      <c r="D233" s="58" t="s">
        <v>366</v>
      </c>
      <c r="E233" s="61" t="s">
        <v>600</v>
      </c>
      <c r="F233" s="58">
        <v>3</v>
      </c>
      <c r="G233" s="58" t="s">
        <v>368</v>
      </c>
    </row>
    <row r="234" spans="1:7" x14ac:dyDescent="0.25">
      <c r="A234" s="57">
        <v>228</v>
      </c>
      <c r="B234" s="57" t="s">
        <v>415</v>
      </c>
      <c r="C234" s="57" t="s">
        <v>354</v>
      </c>
      <c r="D234" s="58" t="s">
        <v>366</v>
      </c>
      <c r="E234" s="61"/>
      <c r="F234" s="58">
        <v>0</v>
      </c>
      <c r="G234" s="58" t="s">
        <v>518</v>
      </c>
    </row>
    <row r="235" spans="1:7" x14ac:dyDescent="0.25">
      <c r="A235" s="57">
        <v>229</v>
      </c>
      <c r="B235" s="57" t="s">
        <v>488</v>
      </c>
      <c r="C235" s="57" t="s">
        <v>354</v>
      </c>
      <c r="D235" s="58" t="s">
        <v>366</v>
      </c>
      <c r="E235" s="61"/>
      <c r="F235" s="58">
        <v>0</v>
      </c>
      <c r="G235" s="58" t="s">
        <v>518</v>
      </c>
    </row>
    <row r="236" spans="1:7" x14ac:dyDescent="0.25">
      <c r="A236" s="57">
        <v>230</v>
      </c>
      <c r="B236" s="57" t="s">
        <v>416</v>
      </c>
      <c r="C236" s="57" t="s">
        <v>354</v>
      </c>
      <c r="D236" s="58" t="s">
        <v>366</v>
      </c>
      <c r="E236" s="61"/>
      <c r="F236" s="58">
        <v>0</v>
      </c>
      <c r="G236" s="58" t="s">
        <v>518</v>
      </c>
    </row>
    <row r="237" spans="1:7" x14ac:dyDescent="0.25">
      <c r="A237" s="57">
        <v>231</v>
      </c>
      <c r="B237" s="57" t="s">
        <v>421</v>
      </c>
      <c r="C237" s="57" t="s">
        <v>354</v>
      </c>
      <c r="D237" s="58" t="s">
        <v>366</v>
      </c>
      <c r="E237" s="61"/>
      <c r="F237" s="58">
        <v>1</v>
      </c>
      <c r="G237" s="58" t="s">
        <v>368</v>
      </c>
    </row>
    <row r="238" spans="1:7" x14ac:dyDescent="0.25">
      <c r="A238" s="57">
        <v>232</v>
      </c>
      <c r="B238" s="57" t="s">
        <v>440</v>
      </c>
      <c r="C238" s="57" t="s">
        <v>354</v>
      </c>
      <c r="D238" s="58" t="s">
        <v>366</v>
      </c>
      <c r="E238" s="61"/>
      <c r="F238" s="58">
        <v>0</v>
      </c>
      <c r="G238" s="58" t="s">
        <v>518</v>
      </c>
    </row>
    <row r="239" spans="1:7" x14ac:dyDescent="0.25">
      <c r="A239" s="57">
        <v>233</v>
      </c>
      <c r="B239" s="57" t="s">
        <v>377</v>
      </c>
      <c r="C239" s="57" t="s">
        <v>357</v>
      </c>
      <c r="D239" s="58" t="s">
        <v>366</v>
      </c>
      <c r="E239" s="61" t="s">
        <v>601</v>
      </c>
      <c r="F239" s="58">
        <v>1</v>
      </c>
      <c r="G239" s="58" t="s">
        <v>368</v>
      </c>
    </row>
    <row r="240" spans="1:7" x14ac:dyDescent="0.25">
      <c r="A240" s="57">
        <v>234</v>
      </c>
      <c r="B240" s="57" t="s">
        <v>381</v>
      </c>
      <c r="C240" s="57" t="s">
        <v>357</v>
      </c>
      <c r="D240" s="58" t="s">
        <v>366</v>
      </c>
      <c r="E240" s="61" t="s">
        <v>549</v>
      </c>
      <c r="F240" s="58">
        <v>1</v>
      </c>
      <c r="G240" s="58" t="s">
        <v>368</v>
      </c>
    </row>
    <row r="241" spans="1:7" x14ac:dyDescent="0.25">
      <c r="A241" s="57">
        <v>235</v>
      </c>
      <c r="B241" s="57" t="s">
        <v>383</v>
      </c>
      <c r="C241" s="57" t="s">
        <v>357</v>
      </c>
      <c r="D241" s="58" t="s">
        <v>366</v>
      </c>
      <c r="E241" s="61" t="s">
        <v>458</v>
      </c>
      <c r="F241" s="58">
        <v>1</v>
      </c>
      <c r="G241" s="58" t="s">
        <v>368</v>
      </c>
    </row>
    <row r="242" spans="1:7" x14ac:dyDescent="0.25">
      <c r="A242" s="57">
        <v>236</v>
      </c>
      <c r="B242" s="57" t="s">
        <v>385</v>
      </c>
      <c r="C242" s="57" t="s">
        <v>357</v>
      </c>
      <c r="D242" s="58" t="s">
        <v>366</v>
      </c>
      <c r="E242" s="61" t="s">
        <v>560</v>
      </c>
      <c r="F242" s="58">
        <v>1</v>
      </c>
      <c r="G242" s="58" t="s">
        <v>368</v>
      </c>
    </row>
    <row r="243" spans="1:7" x14ac:dyDescent="0.25">
      <c r="A243" s="57">
        <v>237</v>
      </c>
      <c r="B243" s="57" t="s">
        <v>602</v>
      </c>
      <c r="C243" s="57" t="s">
        <v>357</v>
      </c>
      <c r="D243" s="58" t="s">
        <v>366</v>
      </c>
      <c r="E243" s="61" t="s">
        <v>404</v>
      </c>
      <c r="F243" s="58">
        <v>1</v>
      </c>
      <c r="G243" s="58" t="s">
        <v>368</v>
      </c>
    </row>
    <row r="244" spans="1:7" x14ac:dyDescent="0.25">
      <c r="A244" s="57">
        <v>238</v>
      </c>
      <c r="B244" s="57" t="s">
        <v>603</v>
      </c>
      <c r="C244" s="57" t="s">
        <v>357</v>
      </c>
      <c r="D244" s="58" t="s">
        <v>366</v>
      </c>
      <c r="E244" s="61" t="s">
        <v>604</v>
      </c>
      <c r="F244" s="58">
        <v>1</v>
      </c>
      <c r="G244" s="58" t="s">
        <v>368</v>
      </c>
    </row>
    <row r="245" spans="1:7" x14ac:dyDescent="0.25">
      <c r="A245" s="57">
        <v>239</v>
      </c>
      <c r="B245" s="57" t="s">
        <v>605</v>
      </c>
      <c r="C245" s="57" t="s">
        <v>357</v>
      </c>
      <c r="D245" s="58" t="s">
        <v>366</v>
      </c>
      <c r="E245" s="61" t="s">
        <v>606</v>
      </c>
      <c r="F245" s="58">
        <v>1</v>
      </c>
      <c r="G245" s="58" t="s">
        <v>368</v>
      </c>
    </row>
    <row r="246" spans="1:7" x14ac:dyDescent="0.25">
      <c r="A246" s="57">
        <v>240</v>
      </c>
      <c r="B246" s="57" t="s">
        <v>607</v>
      </c>
      <c r="C246" s="57" t="s">
        <v>357</v>
      </c>
      <c r="D246" s="58" t="s">
        <v>366</v>
      </c>
      <c r="E246" s="61" t="s">
        <v>608</v>
      </c>
      <c r="F246" s="58">
        <v>1</v>
      </c>
      <c r="G246" s="58" t="s">
        <v>368</v>
      </c>
    </row>
    <row r="247" spans="1:7" ht="30" x14ac:dyDescent="0.25">
      <c r="A247" s="57">
        <v>241</v>
      </c>
      <c r="B247" s="57" t="s">
        <v>609</v>
      </c>
      <c r="C247" s="57" t="s">
        <v>357</v>
      </c>
      <c r="D247" s="58" t="s">
        <v>366</v>
      </c>
      <c r="E247" s="61" t="s">
        <v>610</v>
      </c>
      <c r="F247" s="58">
        <v>10</v>
      </c>
      <c r="G247" s="58" t="s">
        <v>368</v>
      </c>
    </row>
    <row r="248" spans="1:7" x14ac:dyDescent="0.25">
      <c r="A248" s="57">
        <v>242</v>
      </c>
      <c r="B248" s="57" t="s">
        <v>611</v>
      </c>
      <c r="C248" s="57" t="s">
        <v>357</v>
      </c>
      <c r="D248" s="58" t="s">
        <v>366</v>
      </c>
      <c r="E248" s="61" t="s">
        <v>612</v>
      </c>
      <c r="F248" s="58">
        <v>1</v>
      </c>
      <c r="G248" s="58" t="s">
        <v>368</v>
      </c>
    </row>
    <row r="249" spans="1:7" x14ac:dyDescent="0.25">
      <c r="A249" s="57">
        <v>243</v>
      </c>
      <c r="B249" s="57" t="s">
        <v>613</v>
      </c>
      <c r="C249" s="57" t="s">
        <v>357</v>
      </c>
      <c r="D249" s="58" t="s">
        <v>366</v>
      </c>
      <c r="E249" s="61" t="s">
        <v>614</v>
      </c>
      <c r="F249" s="58">
        <v>1</v>
      </c>
      <c r="G249" s="58" t="s">
        <v>368</v>
      </c>
    </row>
    <row r="250" spans="1:7" x14ac:dyDescent="0.25">
      <c r="A250" s="57">
        <v>244</v>
      </c>
      <c r="B250" s="57" t="s">
        <v>615</v>
      </c>
      <c r="C250" s="57" t="s">
        <v>357</v>
      </c>
      <c r="D250" s="58" t="s">
        <v>573</v>
      </c>
      <c r="E250" s="61" t="s">
        <v>616</v>
      </c>
      <c r="F250" s="58">
        <v>1</v>
      </c>
      <c r="G250" s="58" t="s">
        <v>368</v>
      </c>
    </row>
    <row r="251" spans="1:7" x14ac:dyDescent="0.25">
      <c r="A251" s="57">
        <v>245</v>
      </c>
      <c r="B251" s="57" t="s">
        <v>617</v>
      </c>
      <c r="C251" s="57" t="s">
        <v>357</v>
      </c>
      <c r="D251" s="58" t="s">
        <v>573</v>
      </c>
      <c r="E251" s="61" t="s">
        <v>618</v>
      </c>
      <c r="F251" s="58">
        <v>1</v>
      </c>
      <c r="G251" s="58" t="s">
        <v>368</v>
      </c>
    </row>
    <row r="252" spans="1:7" x14ac:dyDescent="0.25">
      <c r="A252" s="57">
        <v>246</v>
      </c>
      <c r="B252" s="57" t="s">
        <v>619</v>
      </c>
      <c r="C252" s="57" t="s">
        <v>357</v>
      </c>
      <c r="D252" s="58" t="s">
        <v>573</v>
      </c>
      <c r="E252" s="61" t="s">
        <v>620</v>
      </c>
      <c r="F252" s="58">
        <v>1</v>
      </c>
      <c r="G252" s="58" t="s">
        <v>368</v>
      </c>
    </row>
    <row r="253" spans="1:7" x14ac:dyDescent="0.25">
      <c r="A253" s="57">
        <v>247</v>
      </c>
      <c r="B253" s="57" t="s">
        <v>621</v>
      </c>
      <c r="C253" s="57" t="s">
        <v>357</v>
      </c>
      <c r="D253" s="58" t="s">
        <v>573</v>
      </c>
      <c r="E253" s="61" t="s">
        <v>622</v>
      </c>
      <c r="F253" s="58">
        <v>1</v>
      </c>
      <c r="G253" s="58" t="s">
        <v>368</v>
      </c>
    </row>
    <row r="254" spans="1:7" x14ac:dyDescent="0.25">
      <c r="A254" s="57">
        <v>248</v>
      </c>
      <c r="B254" s="57" t="s">
        <v>623</v>
      </c>
      <c r="C254" s="57" t="s">
        <v>357</v>
      </c>
      <c r="D254" s="58" t="s">
        <v>366</v>
      </c>
      <c r="E254" s="61" t="s">
        <v>507</v>
      </c>
      <c r="F254" s="58">
        <v>1</v>
      </c>
      <c r="G254" s="58" t="s">
        <v>368</v>
      </c>
    </row>
    <row r="255" spans="1:7" ht="60" x14ac:dyDescent="0.25">
      <c r="A255" s="57">
        <v>249</v>
      </c>
      <c r="B255" s="57" t="s">
        <v>365</v>
      </c>
      <c r="C255" s="57" t="s">
        <v>309</v>
      </c>
      <c r="D255" s="58" t="s">
        <v>366</v>
      </c>
      <c r="E255" s="61" t="s">
        <v>624</v>
      </c>
      <c r="F255" s="58">
        <v>26</v>
      </c>
      <c r="G255" s="58" t="s">
        <v>368</v>
      </c>
    </row>
    <row r="256" spans="1:7" ht="60" x14ac:dyDescent="0.25">
      <c r="A256" s="57">
        <v>250</v>
      </c>
      <c r="B256" s="57" t="s">
        <v>369</v>
      </c>
      <c r="C256" s="57" t="s">
        <v>309</v>
      </c>
      <c r="D256" s="58" t="s">
        <v>366</v>
      </c>
      <c r="E256" s="61" t="s">
        <v>625</v>
      </c>
      <c r="F256" s="58">
        <v>26</v>
      </c>
      <c r="G256" s="58" t="s">
        <v>368</v>
      </c>
    </row>
    <row r="257" spans="1:7" ht="60" x14ac:dyDescent="0.25">
      <c r="A257" s="57">
        <v>251</v>
      </c>
      <c r="B257" s="57" t="s">
        <v>371</v>
      </c>
      <c r="C257" s="57" t="s">
        <v>309</v>
      </c>
      <c r="D257" s="58" t="s">
        <v>366</v>
      </c>
      <c r="E257" s="61" t="s">
        <v>626</v>
      </c>
      <c r="F257" s="58">
        <v>1</v>
      </c>
      <c r="G257" s="58" t="s">
        <v>368</v>
      </c>
    </row>
    <row r="258" spans="1:7" ht="60" x14ac:dyDescent="0.25">
      <c r="A258" s="57">
        <v>252</v>
      </c>
      <c r="B258" s="57" t="s">
        <v>373</v>
      </c>
      <c r="C258" s="57" t="s">
        <v>309</v>
      </c>
      <c r="D258" s="58" t="s">
        <v>366</v>
      </c>
      <c r="E258" s="61" t="s">
        <v>627</v>
      </c>
      <c r="F258" s="58">
        <v>1</v>
      </c>
      <c r="G258" s="58" t="s">
        <v>368</v>
      </c>
    </row>
    <row r="259" spans="1:7" ht="60" x14ac:dyDescent="0.25">
      <c r="A259" s="57">
        <v>253</v>
      </c>
      <c r="B259" s="57" t="s">
        <v>375</v>
      </c>
      <c r="C259" s="57" t="s">
        <v>309</v>
      </c>
      <c r="D259" s="58" t="s">
        <v>366</v>
      </c>
      <c r="E259" s="61" t="s">
        <v>628</v>
      </c>
      <c r="F259" s="58">
        <v>1</v>
      </c>
      <c r="G259" s="58" t="s">
        <v>368</v>
      </c>
    </row>
    <row r="260" spans="1:7" ht="60" x14ac:dyDescent="0.25">
      <c r="A260" s="57">
        <v>254</v>
      </c>
      <c r="B260" s="57" t="s">
        <v>377</v>
      </c>
      <c r="C260" s="57" t="s">
        <v>309</v>
      </c>
      <c r="D260" s="58" t="s">
        <v>366</v>
      </c>
      <c r="E260" s="61" t="s">
        <v>407</v>
      </c>
      <c r="F260" s="58">
        <v>1</v>
      </c>
      <c r="G260" s="58" t="s">
        <v>368</v>
      </c>
    </row>
    <row r="261" spans="1:7" x14ac:dyDescent="0.25">
      <c r="A261" s="57">
        <v>255</v>
      </c>
      <c r="B261" s="57" t="s">
        <v>379</v>
      </c>
      <c r="C261" s="57" t="s">
        <v>309</v>
      </c>
      <c r="D261" s="58" t="s">
        <v>366</v>
      </c>
      <c r="E261" s="61"/>
      <c r="F261" s="58">
        <v>1</v>
      </c>
      <c r="G261" s="58" t="s">
        <v>368</v>
      </c>
    </row>
    <row r="262" spans="1:7" x14ac:dyDescent="0.25">
      <c r="A262" s="57">
        <v>256</v>
      </c>
      <c r="B262" s="57" t="s">
        <v>381</v>
      </c>
      <c r="C262" s="57" t="s">
        <v>309</v>
      </c>
      <c r="D262" s="58" t="s">
        <v>366</v>
      </c>
      <c r="E262" s="61" t="s">
        <v>507</v>
      </c>
      <c r="F262" s="58">
        <v>1</v>
      </c>
      <c r="G262" s="58" t="s">
        <v>368</v>
      </c>
    </row>
    <row r="263" spans="1:7" x14ac:dyDescent="0.25">
      <c r="A263" s="57">
        <v>257</v>
      </c>
      <c r="B263" s="57" t="s">
        <v>383</v>
      </c>
      <c r="C263" s="57" t="s">
        <v>309</v>
      </c>
      <c r="D263" s="58" t="s">
        <v>366</v>
      </c>
      <c r="E263" s="61" t="s">
        <v>629</v>
      </c>
      <c r="F263" s="58">
        <v>1</v>
      </c>
      <c r="G263" s="58" t="s">
        <v>368</v>
      </c>
    </row>
    <row r="264" spans="1:7" x14ac:dyDescent="0.25">
      <c r="A264" s="57">
        <v>258</v>
      </c>
      <c r="B264" s="57" t="s">
        <v>385</v>
      </c>
      <c r="C264" s="57" t="s">
        <v>309</v>
      </c>
      <c r="D264" s="58" t="s">
        <v>366</v>
      </c>
      <c r="E264" s="61" t="s">
        <v>507</v>
      </c>
      <c r="F264" s="58">
        <v>1</v>
      </c>
      <c r="G264" s="58" t="s">
        <v>368</v>
      </c>
    </row>
    <row r="265" spans="1:7" ht="30" x14ac:dyDescent="0.25">
      <c r="A265" s="57">
        <v>259</v>
      </c>
      <c r="B265" s="57" t="s">
        <v>387</v>
      </c>
      <c r="C265" s="57" t="s">
        <v>309</v>
      </c>
      <c r="D265" s="58" t="s">
        <v>366</v>
      </c>
      <c r="E265" s="61" t="s">
        <v>630</v>
      </c>
      <c r="F265" s="58">
        <v>1</v>
      </c>
      <c r="G265" s="58" t="s">
        <v>368</v>
      </c>
    </row>
    <row r="266" spans="1:7" ht="30" x14ac:dyDescent="0.25">
      <c r="A266" s="57">
        <v>260</v>
      </c>
      <c r="B266" s="57" t="s">
        <v>389</v>
      </c>
      <c r="C266" s="57" t="s">
        <v>309</v>
      </c>
      <c r="D266" s="58" t="s">
        <v>366</v>
      </c>
      <c r="E266" s="61" t="s">
        <v>631</v>
      </c>
      <c r="F266" s="58">
        <v>1</v>
      </c>
      <c r="G266" s="58" t="s">
        <v>368</v>
      </c>
    </row>
    <row r="267" spans="1:7" x14ac:dyDescent="0.25">
      <c r="A267" s="57">
        <v>261</v>
      </c>
      <c r="B267" s="57" t="s">
        <v>391</v>
      </c>
      <c r="C267" s="57" t="s">
        <v>309</v>
      </c>
      <c r="D267" s="58" t="s">
        <v>366</v>
      </c>
      <c r="E267" s="61"/>
      <c r="F267" s="58">
        <v>1</v>
      </c>
      <c r="G267" s="58" t="s">
        <v>368</v>
      </c>
    </row>
    <row r="268" spans="1:7" x14ac:dyDescent="0.25">
      <c r="A268" s="57">
        <v>262</v>
      </c>
      <c r="B268" s="57" t="s">
        <v>392</v>
      </c>
      <c r="C268" s="57" t="s">
        <v>309</v>
      </c>
      <c r="D268" s="58" t="s">
        <v>366</v>
      </c>
      <c r="E268" s="61" t="s">
        <v>393</v>
      </c>
      <c r="F268" s="58">
        <v>10</v>
      </c>
      <c r="G268" s="58" t="s">
        <v>368</v>
      </c>
    </row>
    <row r="269" spans="1:7" x14ac:dyDescent="0.25">
      <c r="A269" s="57">
        <v>263</v>
      </c>
      <c r="B269" s="57" t="s">
        <v>394</v>
      </c>
      <c r="C269" s="57" t="s">
        <v>309</v>
      </c>
      <c r="D269" s="58" t="s">
        <v>366</v>
      </c>
      <c r="E269" s="61" t="s">
        <v>632</v>
      </c>
      <c r="F269" s="58">
        <v>1</v>
      </c>
      <c r="G269" s="58" t="s">
        <v>368</v>
      </c>
    </row>
    <row r="270" spans="1:7" x14ac:dyDescent="0.25">
      <c r="A270" s="57">
        <v>264</v>
      </c>
      <c r="B270" s="57" t="s">
        <v>396</v>
      </c>
      <c r="C270" s="57" t="s">
        <v>309</v>
      </c>
      <c r="D270" s="58" t="s">
        <v>366</v>
      </c>
      <c r="E270" s="61" t="s">
        <v>633</v>
      </c>
      <c r="F270" s="58">
        <v>1</v>
      </c>
      <c r="G270" s="58" t="s">
        <v>368</v>
      </c>
    </row>
    <row r="271" spans="1:7" x14ac:dyDescent="0.25">
      <c r="A271" s="57">
        <v>265</v>
      </c>
      <c r="B271" s="57" t="s">
        <v>398</v>
      </c>
      <c r="C271" s="57" t="s">
        <v>309</v>
      </c>
      <c r="D271" s="58" t="s">
        <v>366</v>
      </c>
      <c r="E271" s="61"/>
      <c r="F271" s="58">
        <v>1</v>
      </c>
      <c r="G271" s="58" t="s">
        <v>368</v>
      </c>
    </row>
    <row r="272" spans="1:7" x14ac:dyDescent="0.25">
      <c r="A272" s="57">
        <v>266</v>
      </c>
      <c r="B272" s="57" t="s">
        <v>400</v>
      </c>
      <c r="C272" s="57" t="s">
        <v>309</v>
      </c>
      <c r="D272" s="58" t="s">
        <v>366</v>
      </c>
      <c r="E272" s="61" t="s">
        <v>634</v>
      </c>
      <c r="F272" s="58">
        <v>1</v>
      </c>
      <c r="G272" s="58" t="s">
        <v>368</v>
      </c>
    </row>
    <row r="273" spans="1:7" ht="30" x14ac:dyDescent="0.25">
      <c r="A273" s="57">
        <v>267</v>
      </c>
      <c r="B273" s="57" t="s">
        <v>402</v>
      </c>
      <c r="C273" s="57" t="s">
        <v>309</v>
      </c>
      <c r="D273" s="58" t="s">
        <v>366</v>
      </c>
      <c r="E273" s="61" t="s">
        <v>630</v>
      </c>
      <c r="F273" s="58">
        <v>1</v>
      </c>
      <c r="G273" s="58" t="s">
        <v>368</v>
      </c>
    </row>
    <row r="274" spans="1:7" x14ac:dyDescent="0.25">
      <c r="A274" s="57">
        <v>268</v>
      </c>
      <c r="B274" s="57" t="s">
        <v>381</v>
      </c>
      <c r="C274" s="57" t="s">
        <v>345</v>
      </c>
      <c r="D274" s="58" t="s">
        <v>366</v>
      </c>
      <c r="E274" s="61" t="s">
        <v>476</v>
      </c>
      <c r="F274" s="58">
        <v>1</v>
      </c>
      <c r="G274" s="58" t="s">
        <v>368</v>
      </c>
    </row>
    <row r="275" spans="1:7" x14ac:dyDescent="0.25">
      <c r="A275" s="57">
        <v>269</v>
      </c>
      <c r="B275" s="57" t="s">
        <v>383</v>
      </c>
      <c r="C275" s="57" t="s">
        <v>345</v>
      </c>
      <c r="D275" s="58" t="s">
        <v>366</v>
      </c>
      <c r="E275" s="61" t="s">
        <v>635</v>
      </c>
      <c r="F275" s="58">
        <v>1</v>
      </c>
      <c r="G275" s="58" t="s">
        <v>368</v>
      </c>
    </row>
    <row r="276" spans="1:7" x14ac:dyDescent="0.25">
      <c r="A276" s="57">
        <v>270</v>
      </c>
      <c r="B276" s="57" t="s">
        <v>387</v>
      </c>
      <c r="C276" s="57" t="s">
        <v>345</v>
      </c>
      <c r="D276" s="58" t="s">
        <v>366</v>
      </c>
      <c r="E276" s="61" t="s">
        <v>636</v>
      </c>
      <c r="F276" s="58">
        <v>1</v>
      </c>
      <c r="G276" s="58" t="s">
        <v>368</v>
      </c>
    </row>
    <row r="277" spans="1:7" x14ac:dyDescent="0.25">
      <c r="A277" s="57">
        <v>271</v>
      </c>
      <c r="B277" s="57" t="s">
        <v>445</v>
      </c>
      <c r="C277" s="57" t="s">
        <v>345</v>
      </c>
      <c r="D277" s="58" t="s">
        <v>366</v>
      </c>
      <c r="E277" s="61" t="s">
        <v>637</v>
      </c>
      <c r="F277" s="58">
        <v>1</v>
      </c>
      <c r="G277" s="58" t="s">
        <v>368</v>
      </c>
    </row>
    <row r="278" spans="1:7" x14ac:dyDescent="0.25">
      <c r="A278" s="57">
        <v>272</v>
      </c>
      <c r="B278" s="57" t="s">
        <v>447</v>
      </c>
      <c r="C278" s="57" t="s">
        <v>345</v>
      </c>
      <c r="D278" s="58" t="s">
        <v>366</v>
      </c>
      <c r="E278" s="61" t="s">
        <v>560</v>
      </c>
      <c r="F278" s="58">
        <v>1</v>
      </c>
      <c r="G278" s="58" t="s">
        <v>368</v>
      </c>
    </row>
    <row r="279" spans="1:7" x14ac:dyDescent="0.25">
      <c r="A279" s="57">
        <v>273</v>
      </c>
      <c r="B279" s="57" t="s">
        <v>449</v>
      </c>
      <c r="C279" s="57" t="s">
        <v>345</v>
      </c>
      <c r="D279" s="58" t="s">
        <v>366</v>
      </c>
      <c r="E279" s="61" t="s">
        <v>638</v>
      </c>
      <c r="F279" s="58">
        <v>1</v>
      </c>
      <c r="G279" s="58" t="s">
        <v>368</v>
      </c>
    </row>
    <row r="280" spans="1:7" x14ac:dyDescent="0.25">
      <c r="A280" s="57">
        <v>274</v>
      </c>
      <c r="B280" s="57" t="s">
        <v>451</v>
      </c>
      <c r="C280" s="57" t="s">
        <v>345</v>
      </c>
      <c r="D280" s="58" t="s">
        <v>366</v>
      </c>
      <c r="E280" s="61" t="s">
        <v>639</v>
      </c>
      <c r="F280" s="58">
        <v>1</v>
      </c>
      <c r="G280" s="58" t="s">
        <v>368</v>
      </c>
    </row>
    <row r="281" spans="1:7" x14ac:dyDescent="0.25">
      <c r="A281" s="57">
        <v>275</v>
      </c>
      <c r="B281" s="57" t="s">
        <v>453</v>
      </c>
      <c r="C281" s="57" t="s">
        <v>345</v>
      </c>
      <c r="D281" s="58" t="s">
        <v>366</v>
      </c>
      <c r="E281" s="61" t="s">
        <v>640</v>
      </c>
      <c r="F281" s="58">
        <v>1</v>
      </c>
      <c r="G281" s="58" t="s">
        <v>368</v>
      </c>
    </row>
    <row r="282" spans="1:7" x14ac:dyDescent="0.25">
      <c r="A282" s="57">
        <v>276</v>
      </c>
      <c r="B282" s="57" t="s">
        <v>392</v>
      </c>
      <c r="C282" s="57" t="s">
        <v>345</v>
      </c>
      <c r="D282" s="58" t="s">
        <v>366</v>
      </c>
      <c r="E282" s="61" t="s">
        <v>466</v>
      </c>
      <c r="F282" s="58">
        <v>1</v>
      </c>
      <c r="G282" s="58" t="s">
        <v>368</v>
      </c>
    </row>
    <row r="283" spans="1:7" x14ac:dyDescent="0.25">
      <c r="A283" s="57">
        <v>277</v>
      </c>
      <c r="B283" s="57" t="s">
        <v>394</v>
      </c>
      <c r="C283" s="57" t="s">
        <v>345</v>
      </c>
      <c r="D283" s="58" t="s">
        <v>366</v>
      </c>
      <c r="E283" s="61" t="s">
        <v>474</v>
      </c>
      <c r="F283" s="58">
        <v>1</v>
      </c>
      <c r="G283" s="58" t="s">
        <v>368</v>
      </c>
    </row>
    <row r="284" spans="1:7" x14ac:dyDescent="0.25">
      <c r="A284" s="57">
        <v>278</v>
      </c>
      <c r="B284" s="57" t="s">
        <v>456</v>
      </c>
      <c r="C284" s="57" t="s">
        <v>345</v>
      </c>
      <c r="D284" s="58" t="s">
        <v>366</v>
      </c>
      <c r="E284" s="61" t="s">
        <v>454</v>
      </c>
      <c r="F284" s="58">
        <v>1</v>
      </c>
      <c r="G284" s="58" t="s">
        <v>368</v>
      </c>
    </row>
    <row r="285" spans="1:7" x14ac:dyDescent="0.25">
      <c r="A285" s="57">
        <v>279</v>
      </c>
      <c r="B285" s="57" t="s">
        <v>457</v>
      </c>
      <c r="C285" s="57" t="s">
        <v>345</v>
      </c>
      <c r="D285" s="58" t="s">
        <v>366</v>
      </c>
      <c r="E285" s="61" t="s">
        <v>458</v>
      </c>
      <c r="F285" s="58">
        <v>1</v>
      </c>
      <c r="G285" s="58" t="s">
        <v>368</v>
      </c>
    </row>
    <row r="286" spans="1:7" x14ac:dyDescent="0.25">
      <c r="A286" s="57">
        <v>280</v>
      </c>
      <c r="B286" s="57" t="s">
        <v>381</v>
      </c>
      <c r="C286" s="57" t="s">
        <v>340</v>
      </c>
      <c r="D286" s="58" t="s">
        <v>366</v>
      </c>
      <c r="E286" s="61" t="s">
        <v>549</v>
      </c>
      <c r="F286" s="58">
        <v>1</v>
      </c>
      <c r="G286" s="58" t="s">
        <v>368</v>
      </c>
    </row>
    <row r="287" spans="1:7" x14ac:dyDescent="0.25">
      <c r="A287" s="57">
        <v>281</v>
      </c>
      <c r="B287" s="57" t="s">
        <v>383</v>
      </c>
      <c r="C287" s="57" t="s">
        <v>340</v>
      </c>
      <c r="D287" s="58" t="s">
        <v>366</v>
      </c>
      <c r="E287" s="61" t="s">
        <v>458</v>
      </c>
      <c r="F287" s="58">
        <v>1</v>
      </c>
      <c r="G287" s="58" t="s">
        <v>368</v>
      </c>
    </row>
    <row r="288" spans="1:7" x14ac:dyDescent="0.25">
      <c r="A288" s="57">
        <v>282</v>
      </c>
      <c r="B288" s="57" t="s">
        <v>387</v>
      </c>
      <c r="C288" s="57" t="s">
        <v>340</v>
      </c>
      <c r="D288" s="58" t="s">
        <v>366</v>
      </c>
      <c r="E288" s="61" t="s">
        <v>641</v>
      </c>
      <c r="F288" s="58">
        <v>1</v>
      </c>
      <c r="G288" s="58" t="s">
        <v>368</v>
      </c>
    </row>
    <row r="289" spans="1:7" x14ac:dyDescent="0.25">
      <c r="A289" s="57">
        <v>283</v>
      </c>
      <c r="B289" s="57" t="s">
        <v>445</v>
      </c>
      <c r="C289" s="57" t="s">
        <v>340</v>
      </c>
      <c r="D289" s="58" t="s">
        <v>366</v>
      </c>
      <c r="E289" s="61" t="s">
        <v>642</v>
      </c>
      <c r="F289" s="58">
        <v>1</v>
      </c>
      <c r="G289" s="58" t="s">
        <v>368</v>
      </c>
    </row>
    <row r="290" spans="1:7" x14ac:dyDescent="0.25">
      <c r="A290" s="57">
        <v>284</v>
      </c>
      <c r="B290" s="57" t="s">
        <v>447</v>
      </c>
      <c r="C290" s="57" t="s">
        <v>340</v>
      </c>
      <c r="D290" s="58" t="s">
        <v>366</v>
      </c>
      <c r="E290" s="61" t="s">
        <v>552</v>
      </c>
      <c r="F290" s="58">
        <v>1</v>
      </c>
      <c r="G290" s="58" t="s">
        <v>368</v>
      </c>
    </row>
    <row r="291" spans="1:7" x14ac:dyDescent="0.25">
      <c r="A291" s="57">
        <v>285</v>
      </c>
      <c r="B291" s="57" t="s">
        <v>449</v>
      </c>
      <c r="C291" s="57" t="s">
        <v>340</v>
      </c>
      <c r="D291" s="58" t="s">
        <v>366</v>
      </c>
      <c r="E291" s="61" t="s">
        <v>450</v>
      </c>
      <c r="F291" s="58">
        <v>1</v>
      </c>
      <c r="G291" s="58" t="s">
        <v>368</v>
      </c>
    </row>
    <row r="292" spans="1:7" x14ac:dyDescent="0.25">
      <c r="A292" s="57">
        <v>286</v>
      </c>
      <c r="B292" s="57" t="s">
        <v>451</v>
      </c>
      <c r="C292" s="57" t="s">
        <v>340</v>
      </c>
      <c r="D292" s="58" t="s">
        <v>366</v>
      </c>
      <c r="E292" s="61" t="s">
        <v>643</v>
      </c>
      <c r="F292" s="58">
        <v>1</v>
      </c>
      <c r="G292" s="58" t="s">
        <v>368</v>
      </c>
    </row>
    <row r="293" spans="1:7" x14ac:dyDescent="0.25">
      <c r="A293" s="57">
        <v>287</v>
      </c>
      <c r="B293" s="57" t="s">
        <v>453</v>
      </c>
      <c r="C293" s="57" t="s">
        <v>340</v>
      </c>
      <c r="D293" s="58" t="s">
        <v>366</v>
      </c>
      <c r="E293" s="61" t="s">
        <v>454</v>
      </c>
      <c r="F293" s="58">
        <v>1</v>
      </c>
      <c r="G293" s="58" t="s">
        <v>368</v>
      </c>
    </row>
    <row r="294" spans="1:7" x14ac:dyDescent="0.25">
      <c r="A294" s="57">
        <v>288</v>
      </c>
      <c r="B294" s="57" t="s">
        <v>392</v>
      </c>
      <c r="C294" s="57" t="s">
        <v>340</v>
      </c>
      <c r="D294" s="58" t="s">
        <v>366</v>
      </c>
      <c r="E294" s="61" t="s">
        <v>466</v>
      </c>
      <c r="F294" s="58">
        <v>1</v>
      </c>
      <c r="G294" s="58" t="s">
        <v>368</v>
      </c>
    </row>
    <row r="295" spans="1:7" x14ac:dyDescent="0.25">
      <c r="A295" s="57">
        <v>289</v>
      </c>
      <c r="B295" s="57" t="s">
        <v>394</v>
      </c>
      <c r="C295" s="57" t="s">
        <v>340</v>
      </c>
      <c r="D295" s="58" t="s">
        <v>366</v>
      </c>
      <c r="E295" s="61" t="s">
        <v>554</v>
      </c>
      <c r="F295" s="58">
        <v>1</v>
      </c>
      <c r="G295" s="58" t="s">
        <v>368</v>
      </c>
    </row>
    <row r="296" spans="1:7" x14ac:dyDescent="0.25">
      <c r="A296" s="57">
        <v>290</v>
      </c>
      <c r="B296" s="57" t="s">
        <v>456</v>
      </c>
      <c r="C296" s="57" t="s">
        <v>340</v>
      </c>
      <c r="D296" s="58" t="s">
        <v>366</v>
      </c>
      <c r="E296" s="61" t="s">
        <v>454</v>
      </c>
      <c r="F296" s="58">
        <v>1</v>
      </c>
      <c r="G296" s="58" t="s">
        <v>368</v>
      </c>
    </row>
    <row r="297" spans="1:7" x14ac:dyDescent="0.25">
      <c r="A297" s="57">
        <v>291</v>
      </c>
      <c r="B297" s="57" t="s">
        <v>457</v>
      </c>
      <c r="C297" s="57" t="s">
        <v>340</v>
      </c>
      <c r="D297" s="58" t="s">
        <v>366</v>
      </c>
      <c r="E297" s="61" t="s">
        <v>458</v>
      </c>
      <c r="F297" s="58">
        <v>1</v>
      </c>
      <c r="G297" s="58" t="s">
        <v>368</v>
      </c>
    </row>
    <row r="298" spans="1:7" ht="60" x14ac:dyDescent="0.25">
      <c r="A298" s="57">
        <v>292</v>
      </c>
      <c r="B298" s="57" t="s">
        <v>377</v>
      </c>
      <c r="C298" s="57" t="s">
        <v>355</v>
      </c>
      <c r="D298" s="58" t="s">
        <v>366</v>
      </c>
      <c r="E298" s="61" t="s">
        <v>407</v>
      </c>
      <c r="F298" s="58">
        <v>1</v>
      </c>
      <c r="G298" s="58" t="s">
        <v>368</v>
      </c>
    </row>
    <row r="299" spans="1:7" x14ac:dyDescent="0.25">
      <c r="A299" s="57">
        <v>293</v>
      </c>
      <c r="B299" s="57" t="s">
        <v>381</v>
      </c>
      <c r="C299" s="57" t="s">
        <v>355</v>
      </c>
      <c r="D299" s="58" t="s">
        <v>366</v>
      </c>
      <c r="E299" s="61" t="s">
        <v>552</v>
      </c>
      <c r="F299" s="58">
        <v>1</v>
      </c>
      <c r="G299" s="58" t="s">
        <v>368</v>
      </c>
    </row>
    <row r="300" spans="1:7" x14ac:dyDescent="0.25">
      <c r="A300" s="57">
        <v>294</v>
      </c>
      <c r="B300" s="57" t="s">
        <v>385</v>
      </c>
      <c r="C300" s="57" t="s">
        <v>355</v>
      </c>
      <c r="D300" s="58" t="s">
        <v>366</v>
      </c>
      <c r="E300" s="61" t="s">
        <v>552</v>
      </c>
      <c r="F300" s="58">
        <v>1</v>
      </c>
      <c r="G300" s="58" t="s">
        <v>368</v>
      </c>
    </row>
    <row r="301" spans="1:7" x14ac:dyDescent="0.25">
      <c r="A301" s="57">
        <v>295</v>
      </c>
      <c r="B301" s="57" t="s">
        <v>387</v>
      </c>
      <c r="C301" s="57" t="s">
        <v>355</v>
      </c>
      <c r="D301" s="58" t="s">
        <v>366</v>
      </c>
      <c r="E301" s="61" t="s">
        <v>644</v>
      </c>
      <c r="F301" s="58">
        <v>2</v>
      </c>
      <c r="G301" s="58" t="s">
        <v>368</v>
      </c>
    </row>
    <row r="302" spans="1:7" ht="60" x14ac:dyDescent="0.25">
      <c r="A302" s="57">
        <v>296</v>
      </c>
      <c r="B302" s="57" t="s">
        <v>645</v>
      </c>
      <c r="C302" s="57" t="s">
        <v>355</v>
      </c>
      <c r="D302" s="58" t="s">
        <v>366</v>
      </c>
      <c r="E302" s="61" t="s">
        <v>627</v>
      </c>
      <c r="F302" s="58">
        <v>1</v>
      </c>
      <c r="G302" s="58" t="s">
        <v>368</v>
      </c>
    </row>
    <row r="303" spans="1:7" ht="60" x14ac:dyDescent="0.25">
      <c r="A303" s="57">
        <v>297</v>
      </c>
      <c r="B303" s="57" t="s">
        <v>646</v>
      </c>
      <c r="C303" s="57" t="s">
        <v>355</v>
      </c>
      <c r="D303" s="58" t="s">
        <v>366</v>
      </c>
      <c r="E303" s="61" t="s">
        <v>647</v>
      </c>
      <c r="F303" s="58">
        <v>1</v>
      </c>
      <c r="G303" s="58" t="s">
        <v>368</v>
      </c>
    </row>
    <row r="304" spans="1:7" ht="45" x14ac:dyDescent="0.25">
      <c r="A304" s="57">
        <v>298</v>
      </c>
      <c r="B304" s="57" t="s">
        <v>418</v>
      </c>
      <c r="C304" s="57" t="s">
        <v>355</v>
      </c>
      <c r="D304" s="58" t="s">
        <v>366</v>
      </c>
      <c r="E304" s="61" t="s">
        <v>648</v>
      </c>
      <c r="F304" s="58">
        <v>1</v>
      </c>
      <c r="G304" s="58" t="s">
        <v>368</v>
      </c>
    </row>
    <row r="305" spans="1:7" ht="45" x14ac:dyDescent="0.25">
      <c r="A305" s="57">
        <v>299</v>
      </c>
      <c r="B305" s="57" t="s">
        <v>389</v>
      </c>
      <c r="C305" s="57" t="s">
        <v>355</v>
      </c>
      <c r="D305" s="58" t="s">
        <v>366</v>
      </c>
      <c r="E305" s="61" t="s">
        <v>649</v>
      </c>
      <c r="F305" s="58">
        <v>7</v>
      </c>
      <c r="G305" s="58" t="s">
        <v>368</v>
      </c>
    </row>
    <row r="306" spans="1:7" x14ac:dyDescent="0.25">
      <c r="A306" s="57">
        <v>300</v>
      </c>
      <c r="B306" s="57" t="s">
        <v>392</v>
      </c>
      <c r="C306" s="57" t="s">
        <v>355</v>
      </c>
      <c r="D306" s="58" t="s">
        <v>366</v>
      </c>
      <c r="E306" s="61" t="s">
        <v>393</v>
      </c>
      <c r="F306" s="58">
        <v>1</v>
      </c>
      <c r="G306" s="58" t="s">
        <v>368</v>
      </c>
    </row>
    <row r="307" spans="1:7" x14ac:dyDescent="0.25">
      <c r="A307" s="57">
        <v>301</v>
      </c>
      <c r="B307" s="57" t="s">
        <v>396</v>
      </c>
      <c r="C307" s="57" t="s">
        <v>355</v>
      </c>
      <c r="D307" s="58" t="s">
        <v>366</v>
      </c>
      <c r="E307" s="61" t="s">
        <v>397</v>
      </c>
      <c r="F307" s="58">
        <v>1</v>
      </c>
      <c r="G307" s="58" t="s">
        <v>368</v>
      </c>
    </row>
    <row r="308" spans="1:7" x14ac:dyDescent="0.25">
      <c r="A308" s="57">
        <v>302</v>
      </c>
      <c r="B308" s="57" t="s">
        <v>438</v>
      </c>
      <c r="C308" s="57" t="s">
        <v>355</v>
      </c>
      <c r="D308" s="58" t="s">
        <v>366</v>
      </c>
      <c r="E308" s="61" t="s">
        <v>650</v>
      </c>
      <c r="F308" s="58">
        <v>1</v>
      </c>
      <c r="G308" s="58" t="s">
        <v>368</v>
      </c>
    </row>
    <row r="309" spans="1:7" ht="60" x14ac:dyDescent="0.25">
      <c r="A309" s="57">
        <v>303</v>
      </c>
      <c r="B309" s="57" t="s">
        <v>440</v>
      </c>
      <c r="C309" s="57" t="s">
        <v>355</v>
      </c>
      <c r="D309" s="58" t="s">
        <v>366</v>
      </c>
      <c r="E309" s="61" t="s">
        <v>628</v>
      </c>
      <c r="F309" s="58">
        <v>1</v>
      </c>
      <c r="G309" s="58" t="s">
        <v>368</v>
      </c>
    </row>
    <row r="310" spans="1:7" ht="60" x14ac:dyDescent="0.25">
      <c r="A310" s="57">
        <v>304</v>
      </c>
      <c r="B310" s="57" t="s">
        <v>365</v>
      </c>
      <c r="C310" s="57" t="s">
        <v>306</v>
      </c>
      <c r="D310" s="58" t="s">
        <v>366</v>
      </c>
      <c r="E310" s="61" t="s">
        <v>651</v>
      </c>
      <c r="F310" s="58">
        <v>21</v>
      </c>
      <c r="G310" s="58" t="s">
        <v>368</v>
      </c>
    </row>
    <row r="311" spans="1:7" ht="60" x14ac:dyDescent="0.25">
      <c r="A311" s="57">
        <v>305</v>
      </c>
      <c r="B311" s="57" t="s">
        <v>369</v>
      </c>
      <c r="C311" s="57" t="s">
        <v>306</v>
      </c>
      <c r="D311" s="58" t="s">
        <v>366</v>
      </c>
      <c r="E311" s="61" t="s">
        <v>625</v>
      </c>
      <c r="F311" s="58">
        <v>21</v>
      </c>
      <c r="G311" s="58" t="s">
        <v>368</v>
      </c>
    </row>
    <row r="312" spans="1:7" ht="60" x14ac:dyDescent="0.25">
      <c r="A312" s="57">
        <v>306</v>
      </c>
      <c r="B312" s="57" t="s">
        <v>371</v>
      </c>
      <c r="C312" s="57" t="s">
        <v>306</v>
      </c>
      <c r="D312" s="58" t="s">
        <v>366</v>
      </c>
      <c r="E312" s="61" t="s">
        <v>647</v>
      </c>
      <c r="F312" s="58">
        <v>1</v>
      </c>
      <c r="G312" s="58" t="s">
        <v>368</v>
      </c>
    </row>
    <row r="313" spans="1:7" ht="60" x14ac:dyDescent="0.25">
      <c r="A313" s="57">
        <v>307</v>
      </c>
      <c r="B313" s="57" t="s">
        <v>373</v>
      </c>
      <c r="C313" s="57" t="s">
        <v>306</v>
      </c>
      <c r="D313" s="58" t="s">
        <v>366</v>
      </c>
      <c r="E313" s="61" t="s">
        <v>627</v>
      </c>
      <c r="F313" s="58">
        <v>1</v>
      </c>
      <c r="G313" s="58" t="s">
        <v>368</v>
      </c>
    </row>
    <row r="314" spans="1:7" ht="60" x14ac:dyDescent="0.25">
      <c r="A314" s="57">
        <v>308</v>
      </c>
      <c r="B314" s="57" t="s">
        <v>375</v>
      </c>
      <c r="C314" s="57" t="s">
        <v>306</v>
      </c>
      <c r="D314" s="58" t="s">
        <v>366</v>
      </c>
      <c r="E314" s="61" t="s">
        <v>628</v>
      </c>
      <c r="F314" s="58">
        <v>1</v>
      </c>
      <c r="G314" s="58" t="s">
        <v>368</v>
      </c>
    </row>
    <row r="315" spans="1:7" ht="60" x14ac:dyDescent="0.25">
      <c r="A315" s="57">
        <v>309</v>
      </c>
      <c r="B315" s="57" t="s">
        <v>377</v>
      </c>
      <c r="C315" s="57" t="s">
        <v>306</v>
      </c>
      <c r="D315" s="58" t="s">
        <v>366</v>
      </c>
      <c r="E315" s="61" t="s">
        <v>407</v>
      </c>
      <c r="F315" s="58">
        <v>1</v>
      </c>
      <c r="G315" s="58" t="s">
        <v>368</v>
      </c>
    </row>
    <row r="316" spans="1:7" x14ac:dyDescent="0.25">
      <c r="A316" s="57">
        <v>310</v>
      </c>
      <c r="B316" s="57" t="s">
        <v>379</v>
      </c>
      <c r="C316" s="57" t="s">
        <v>306</v>
      </c>
      <c r="D316" s="58" t="s">
        <v>366</v>
      </c>
      <c r="E316" s="61"/>
      <c r="F316" s="58">
        <v>1</v>
      </c>
      <c r="G316" s="58" t="s">
        <v>368</v>
      </c>
    </row>
    <row r="317" spans="1:7" x14ac:dyDescent="0.25">
      <c r="A317" s="57">
        <v>311</v>
      </c>
      <c r="B317" s="57" t="s">
        <v>381</v>
      </c>
      <c r="C317" s="57" t="s">
        <v>306</v>
      </c>
      <c r="D317" s="58" t="s">
        <v>366</v>
      </c>
      <c r="E317" s="61" t="s">
        <v>652</v>
      </c>
      <c r="F317" s="58">
        <v>1</v>
      </c>
      <c r="G317" s="58" t="s">
        <v>368</v>
      </c>
    </row>
    <row r="318" spans="1:7" x14ac:dyDescent="0.25">
      <c r="A318" s="57">
        <v>312</v>
      </c>
      <c r="B318" s="57" t="s">
        <v>383</v>
      </c>
      <c r="C318" s="57" t="s">
        <v>306</v>
      </c>
      <c r="D318" s="58" t="s">
        <v>366</v>
      </c>
      <c r="E318" s="61" t="s">
        <v>653</v>
      </c>
      <c r="F318" s="58">
        <v>1</v>
      </c>
      <c r="G318" s="58" t="s">
        <v>368</v>
      </c>
    </row>
    <row r="319" spans="1:7" x14ac:dyDescent="0.25">
      <c r="A319" s="57">
        <v>313</v>
      </c>
      <c r="B319" s="57" t="s">
        <v>385</v>
      </c>
      <c r="C319" s="57" t="s">
        <v>306</v>
      </c>
      <c r="D319" s="58" t="s">
        <v>366</v>
      </c>
      <c r="E319" s="61" t="s">
        <v>654</v>
      </c>
      <c r="F319" s="58">
        <v>1</v>
      </c>
      <c r="G319" s="58" t="s">
        <v>368</v>
      </c>
    </row>
    <row r="320" spans="1:7" ht="30" x14ac:dyDescent="0.25">
      <c r="A320" s="57">
        <v>314</v>
      </c>
      <c r="B320" s="57" t="s">
        <v>387</v>
      </c>
      <c r="C320" s="57" t="s">
        <v>306</v>
      </c>
      <c r="D320" s="58" t="s">
        <v>366</v>
      </c>
      <c r="E320" s="61" t="s">
        <v>655</v>
      </c>
      <c r="F320" s="58">
        <v>1</v>
      </c>
      <c r="G320" s="58" t="s">
        <v>368</v>
      </c>
    </row>
    <row r="321" spans="1:7" ht="30" x14ac:dyDescent="0.25">
      <c r="A321" s="57">
        <v>315</v>
      </c>
      <c r="B321" s="57" t="s">
        <v>389</v>
      </c>
      <c r="C321" s="57" t="s">
        <v>306</v>
      </c>
      <c r="D321" s="58" t="s">
        <v>366</v>
      </c>
      <c r="E321" s="61" t="s">
        <v>390</v>
      </c>
      <c r="F321" s="58">
        <v>1</v>
      </c>
      <c r="G321" s="58" t="s">
        <v>368</v>
      </c>
    </row>
    <row r="322" spans="1:7" x14ac:dyDescent="0.25">
      <c r="A322" s="57">
        <v>316</v>
      </c>
      <c r="B322" s="57" t="s">
        <v>391</v>
      </c>
      <c r="C322" s="57" t="s">
        <v>306</v>
      </c>
      <c r="D322" s="58" t="s">
        <v>366</v>
      </c>
      <c r="E322" s="61"/>
      <c r="F322" s="58">
        <v>1</v>
      </c>
      <c r="G322" s="58" t="s">
        <v>368</v>
      </c>
    </row>
    <row r="323" spans="1:7" x14ac:dyDescent="0.25">
      <c r="A323" s="57">
        <v>317</v>
      </c>
      <c r="B323" s="57" t="s">
        <v>392</v>
      </c>
      <c r="C323" s="57" t="s">
        <v>306</v>
      </c>
      <c r="D323" s="58" t="s">
        <v>366</v>
      </c>
      <c r="E323" s="61" t="s">
        <v>393</v>
      </c>
      <c r="F323" s="58">
        <v>1</v>
      </c>
      <c r="G323" s="58" t="s">
        <v>368</v>
      </c>
    </row>
    <row r="324" spans="1:7" x14ac:dyDescent="0.25">
      <c r="A324" s="57">
        <v>318</v>
      </c>
      <c r="B324" s="57" t="s">
        <v>394</v>
      </c>
      <c r="C324" s="57" t="s">
        <v>306</v>
      </c>
      <c r="D324" s="58" t="s">
        <v>366</v>
      </c>
      <c r="E324" s="61" t="s">
        <v>656</v>
      </c>
      <c r="F324" s="58">
        <v>1</v>
      </c>
      <c r="G324" s="58" t="s">
        <v>368</v>
      </c>
    </row>
    <row r="325" spans="1:7" x14ac:dyDescent="0.25">
      <c r="A325" s="57">
        <v>319</v>
      </c>
      <c r="B325" s="57" t="s">
        <v>398</v>
      </c>
      <c r="C325" s="57" t="s">
        <v>306</v>
      </c>
      <c r="D325" s="58" t="s">
        <v>366</v>
      </c>
      <c r="E325" s="61"/>
      <c r="F325" s="58">
        <v>1</v>
      </c>
      <c r="G325" s="58" t="s">
        <v>368</v>
      </c>
    </row>
    <row r="326" spans="1:7" x14ac:dyDescent="0.25">
      <c r="A326" s="57">
        <v>320</v>
      </c>
      <c r="B326" s="57" t="s">
        <v>400</v>
      </c>
      <c r="C326" s="57" t="s">
        <v>306</v>
      </c>
      <c r="D326" s="58" t="s">
        <v>366</v>
      </c>
      <c r="E326" s="61"/>
      <c r="F326" s="58">
        <v>1</v>
      </c>
      <c r="G326" s="58" t="s">
        <v>368</v>
      </c>
    </row>
    <row r="327" spans="1:7" ht="30" x14ac:dyDescent="0.25">
      <c r="A327" s="57">
        <v>321</v>
      </c>
      <c r="B327" s="57" t="s">
        <v>402</v>
      </c>
      <c r="C327" s="57" t="s">
        <v>306</v>
      </c>
      <c r="D327" s="58" t="s">
        <v>366</v>
      </c>
      <c r="E327" s="61" t="s">
        <v>655</v>
      </c>
      <c r="F327" s="58">
        <v>1</v>
      </c>
      <c r="G327" s="58" t="s">
        <v>368</v>
      </c>
    </row>
    <row r="328" spans="1:7" ht="30" x14ac:dyDescent="0.25">
      <c r="A328" s="57">
        <v>322</v>
      </c>
      <c r="B328" s="57" t="s">
        <v>365</v>
      </c>
      <c r="C328" s="57" t="s">
        <v>301</v>
      </c>
      <c r="D328" s="58" t="s">
        <v>366</v>
      </c>
      <c r="E328" s="61" t="s">
        <v>657</v>
      </c>
      <c r="F328" s="58">
        <v>27</v>
      </c>
      <c r="G328" s="58" t="s">
        <v>368</v>
      </c>
    </row>
    <row r="329" spans="1:7" ht="30" x14ac:dyDescent="0.25">
      <c r="A329" s="57">
        <v>323</v>
      </c>
      <c r="B329" s="57" t="s">
        <v>369</v>
      </c>
      <c r="C329" s="57" t="s">
        <v>301</v>
      </c>
      <c r="D329" s="58" t="s">
        <v>366</v>
      </c>
      <c r="E329" s="61" t="s">
        <v>658</v>
      </c>
      <c r="F329" s="58">
        <v>27</v>
      </c>
      <c r="G329" s="58" t="s">
        <v>368</v>
      </c>
    </row>
    <row r="330" spans="1:7" ht="47.25" customHeight="1" x14ac:dyDescent="0.25">
      <c r="A330" s="57">
        <v>324</v>
      </c>
      <c r="B330" s="57" t="s">
        <v>371</v>
      </c>
      <c r="C330" s="57" t="s">
        <v>301</v>
      </c>
      <c r="D330" s="58" t="s">
        <v>366</v>
      </c>
      <c r="E330" s="61" t="s">
        <v>659</v>
      </c>
      <c r="F330" s="58">
        <v>1</v>
      </c>
      <c r="G330" s="58" t="s">
        <v>368</v>
      </c>
    </row>
    <row r="331" spans="1:7" ht="29.25" customHeight="1" x14ac:dyDescent="0.25">
      <c r="A331" s="57">
        <v>325</v>
      </c>
      <c r="B331" s="57" t="s">
        <v>373</v>
      </c>
      <c r="C331" s="57" t="s">
        <v>301</v>
      </c>
      <c r="D331" s="58" t="s">
        <v>366</v>
      </c>
      <c r="E331" s="61" t="s">
        <v>660</v>
      </c>
      <c r="F331" s="58">
        <v>1</v>
      </c>
      <c r="G331" s="58" t="s">
        <v>368</v>
      </c>
    </row>
    <row r="332" spans="1:7" ht="30" x14ac:dyDescent="0.25">
      <c r="A332" s="57">
        <v>326</v>
      </c>
      <c r="B332" s="57" t="s">
        <v>375</v>
      </c>
      <c r="C332" s="57" t="s">
        <v>301</v>
      </c>
      <c r="D332" s="58" t="s">
        <v>366</v>
      </c>
      <c r="E332" s="61" t="s">
        <v>661</v>
      </c>
      <c r="F332" s="58">
        <v>1</v>
      </c>
      <c r="G332" s="58" t="s">
        <v>368</v>
      </c>
    </row>
    <row r="333" spans="1:7" x14ac:dyDescent="0.25">
      <c r="A333" s="57">
        <v>327</v>
      </c>
      <c r="B333" s="57" t="s">
        <v>377</v>
      </c>
      <c r="C333" s="57" t="s">
        <v>301</v>
      </c>
      <c r="D333" s="58" t="s">
        <v>366</v>
      </c>
      <c r="E333" s="61" t="s">
        <v>662</v>
      </c>
      <c r="F333" s="58">
        <v>1</v>
      </c>
      <c r="G333" s="58" t="s">
        <v>368</v>
      </c>
    </row>
    <row r="334" spans="1:7" x14ac:dyDescent="0.25">
      <c r="A334" s="57">
        <v>328</v>
      </c>
      <c r="B334" s="57" t="s">
        <v>379</v>
      </c>
      <c r="C334" s="57" t="s">
        <v>301</v>
      </c>
      <c r="D334" s="58" t="s">
        <v>366</v>
      </c>
      <c r="E334" s="61"/>
      <c r="F334" s="58">
        <v>1</v>
      </c>
      <c r="G334" s="58" t="s">
        <v>368</v>
      </c>
    </row>
    <row r="335" spans="1:7" x14ac:dyDescent="0.25">
      <c r="A335" s="57">
        <v>329</v>
      </c>
      <c r="B335" s="57" t="s">
        <v>381</v>
      </c>
      <c r="C335" s="57" t="s">
        <v>301</v>
      </c>
      <c r="D335" s="58" t="s">
        <v>366</v>
      </c>
      <c r="E335" s="61" t="s">
        <v>552</v>
      </c>
      <c r="F335" s="58">
        <v>1</v>
      </c>
      <c r="G335" s="58" t="s">
        <v>368</v>
      </c>
    </row>
    <row r="336" spans="1:7" x14ac:dyDescent="0.25">
      <c r="A336" s="57">
        <v>330</v>
      </c>
      <c r="B336" s="57" t="s">
        <v>383</v>
      </c>
      <c r="C336" s="57" t="s">
        <v>301</v>
      </c>
      <c r="D336" s="58" t="s">
        <v>366</v>
      </c>
      <c r="E336" s="61" t="s">
        <v>598</v>
      </c>
      <c r="F336" s="58">
        <v>1</v>
      </c>
      <c r="G336" s="58" t="s">
        <v>368</v>
      </c>
    </row>
    <row r="337" spans="1:7" x14ac:dyDescent="0.25">
      <c r="A337" s="57">
        <v>331</v>
      </c>
      <c r="B337" s="57" t="s">
        <v>385</v>
      </c>
      <c r="C337" s="57" t="s">
        <v>301</v>
      </c>
      <c r="D337" s="58" t="s">
        <v>366</v>
      </c>
      <c r="E337" s="61" t="s">
        <v>663</v>
      </c>
      <c r="F337" s="58">
        <v>1</v>
      </c>
      <c r="G337" s="58" t="s">
        <v>368</v>
      </c>
    </row>
    <row r="338" spans="1:7" ht="30" x14ac:dyDescent="0.25">
      <c r="A338" s="57">
        <v>332</v>
      </c>
      <c r="B338" s="57" t="s">
        <v>387</v>
      </c>
      <c r="C338" s="57" t="s">
        <v>301</v>
      </c>
      <c r="D338" s="58" t="s">
        <v>366</v>
      </c>
      <c r="E338" s="61" t="s">
        <v>664</v>
      </c>
      <c r="F338" s="58">
        <v>1</v>
      </c>
      <c r="G338" s="58" t="s">
        <v>368</v>
      </c>
    </row>
    <row r="339" spans="1:7" ht="30" x14ac:dyDescent="0.25">
      <c r="A339" s="57">
        <v>333</v>
      </c>
      <c r="B339" s="57" t="s">
        <v>389</v>
      </c>
      <c r="C339" s="57" t="s">
        <v>301</v>
      </c>
      <c r="D339" s="58" t="s">
        <v>366</v>
      </c>
      <c r="E339" s="61" t="s">
        <v>390</v>
      </c>
      <c r="F339" s="58">
        <v>1</v>
      </c>
      <c r="G339" s="58" t="s">
        <v>368</v>
      </c>
    </row>
    <row r="340" spans="1:7" x14ac:dyDescent="0.25">
      <c r="A340" s="57">
        <v>334</v>
      </c>
      <c r="B340" s="57" t="s">
        <v>391</v>
      </c>
      <c r="C340" s="57" t="s">
        <v>301</v>
      </c>
      <c r="D340" s="58" t="s">
        <v>366</v>
      </c>
      <c r="E340" s="61"/>
      <c r="F340" s="58">
        <v>1</v>
      </c>
      <c r="G340" s="58" t="s">
        <v>368</v>
      </c>
    </row>
    <row r="341" spans="1:7" x14ac:dyDescent="0.25">
      <c r="A341" s="57">
        <v>335</v>
      </c>
      <c r="B341" s="57" t="s">
        <v>392</v>
      </c>
      <c r="C341" s="57" t="s">
        <v>301</v>
      </c>
      <c r="D341" s="58" t="s">
        <v>366</v>
      </c>
      <c r="E341" s="61" t="s">
        <v>393</v>
      </c>
      <c r="F341" s="58">
        <v>1</v>
      </c>
      <c r="G341" s="58" t="s">
        <v>368</v>
      </c>
    </row>
    <row r="342" spans="1:7" x14ac:dyDescent="0.25">
      <c r="A342" s="57">
        <v>336</v>
      </c>
      <c r="B342" s="57" t="s">
        <v>396</v>
      </c>
      <c r="C342" s="57" t="s">
        <v>301</v>
      </c>
      <c r="D342" s="58" t="s">
        <v>366</v>
      </c>
      <c r="E342" s="61" t="s">
        <v>397</v>
      </c>
      <c r="F342" s="58">
        <v>1</v>
      </c>
      <c r="G342" s="58" t="s">
        <v>368</v>
      </c>
    </row>
    <row r="343" spans="1:7" x14ac:dyDescent="0.25">
      <c r="A343" s="57">
        <v>337</v>
      </c>
      <c r="B343" s="57" t="s">
        <v>398</v>
      </c>
      <c r="C343" s="57" t="s">
        <v>301</v>
      </c>
      <c r="D343" s="58" t="s">
        <v>366</v>
      </c>
      <c r="E343" s="61"/>
      <c r="F343" s="58">
        <v>1</v>
      </c>
      <c r="G343" s="58" t="s">
        <v>368</v>
      </c>
    </row>
    <row r="344" spans="1:7" x14ac:dyDescent="0.25">
      <c r="A344" s="57">
        <v>338</v>
      </c>
      <c r="B344" s="57" t="s">
        <v>400</v>
      </c>
      <c r="C344" s="57" t="s">
        <v>301</v>
      </c>
      <c r="D344" s="58" t="s">
        <v>366</v>
      </c>
      <c r="E344" s="61"/>
      <c r="F344" s="58">
        <v>1</v>
      </c>
      <c r="G344" s="58" t="s">
        <v>368</v>
      </c>
    </row>
    <row r="345" spans="1:7" x14ac:dyDescent="0.25">
      <c r="A345" s="57">
        <v>339</v>
      </c>
      <c r="B345" s="57" t="s">
        <v>402</v>
      </c>
      <c r="C345" s="57" t="s">
        <v>301</v>
      </c>
      <c r="D345" s="58" t="s">
        <v>366</v>
      </c>
      <c r="E345" s="61"/>
      <c r="F345" s="58">
        <v>1</v>
      </c>
      <c r="G345" s="58" t="s">
        <v>368</v>
      </c>
    </row>
    <row r="346" spans="1:7" x14ac:dyDescent="0.25">
      <c r="A346" s="57">
        <v>340</v>
      </c>
      <c r="B346" s="57" t="s">
        <v>381</v>
      </c>
      <c r="C346" s="57" t="s">
        <v>341</v>
      </c>
      <c r="D346" s="58" t="s">
        <v>366</v>
      </c>
      <c r="E346" s="61" t="s">
        <v>549</v>
      </c>
      <c r="F346" s="58">
        <v>1</v>
      </c>
      <c r="G346" s="58" t="s">
        <v>368</v>
      </c>
    </row>
    <row r="347" spans="1:7" x14ac:dyDescent="0.25">
      <c r="A347" s="57">
        <v>341</v>
      </c>
      <c r="B347" s="57" t="s">
        <v>383</v>
      </c>
      <c r="C347" s="57" t="s">
        <v>341</v>
      </c>
      <c r="D347" s="58" t="s">
        <v>366</v>
      </c>
      <c r="E347" s="61" t="s">
        <v>458</v>
      </c>
      <c r="F347" s="58">
        <v>1</v>
      </c>
      <c r="G347" s="58" t="s">
        <v>368</v>
      </c>
    </row>
    <row r="348" spans="1:7" x14ac:dyDescent="0.25">
      <c r="A348" s="57">
        <v>342</v>
      </c>
      <c r="B348" s="57" t="s">
        <v>387</v>
      </c>
      <c r="C348" s="57" t="s">
        <v>341</v>
      </c>
      <c r="D348" s="58" t="s">
        <v>366</v>
      </c>
      <c r="E348" s="61" t="s">
        <v>665</v>
      </c>
      <c r="F348" s="58">
        <v>1</v>
      </c>
      <c r="G348" s="58" t="s">
        <v>368</v>
      </c>
    </row>
    <row r="349" spans="1:7" x14ac:dyDescent="0.25">
      <c r="A349" s="57">
        <v>343</v>
      </c>
      <c r="B349" s="57" t="s">
        <v>445</v>
      </c>
      <c r="C349" s="57" t="s">
        <v>341</v>
      </c>
      <c r="D349" s="58" t="s">
        <v>366</v>
      </c>
      <c r="E349" s="61" t="s">
        <v>637</v>
      </c>
      <c r="F349" s="58">
        <v>1</v>
      </c>
      <c r="G349" s="58" t="s">
        <v>368</v>
      </c>
    </row>
    <row r="350" spans="1:7" x14ac:dyDescent="0.25">
      <c r="A350" s="57">
        <v>344</v>
      </c>
      <c r="B350" s="57" t="s">
        <v>447</v>
      </c>
      <c r="C350" s="57" t="s">
        <v>341</v>
      </c>
      <c r="D350" s="58" t="s">
        <v>366</v>
      </c>
      <c r="E350" s="61" t="s">
        <v>552</v>
      </c>
      <c r="F350" s="58">
        <v>1</v>
      </c>
      <c r="G350" s="58" t="s">
        <v>368</v>
      </c>
    </row>
    <row r="351" spans="1:7" x14ac:dyDescent="0.25">
      <c r="A351" s="57">
        <v>345</v>
      </c>
      <c r="B351" s="57" t="s">
        <v>449</v>
      </c>
      <c r="C351" s="57" t="s">
        <v>341</v>
      </c>
      <c r="D351" s="58" t="s">
        <v>366</v>
      </c>
      <c r="E351" s="61" t="s">
        <v>450</v>
      </c>
      <c r="F351" s="58">
        <v>1</v>
      </c>
      <c r="G351" s="58" t="s">
        <v>368</v>
      </c>
    </row>
    <row r="352" spans="1:7" x14ac:dyDescent="0.25">
      <c r="A352" s="57">
        <v>346</v>
      </c>
      <c r="B352" s="57" t="s">
        <v>451</v>
      </c>
      <c r="C352" s="57" t="s">
        <v>341</v>
      </c>
      <c r="D352" s="58" t="s">
        <v>366</v>
      </c>
      <c r="E352" s="61" t="s">
        <v>666</v>
      </c>
      <c r="F352" s="58">
        <v>1</v>
      </c>
      <c r="G352" s="58" t="s">
        <v>368</v>
      </c>
    </row>
    <row r="353" spans="1:7" x14ac:dyDescent="0.25">
      <c r="A353" s="57">
        <v>347</v>
      </c>
      <c r="B353" s="57" t="s">
        <v>453</v>
      </c>
      <c r="C353" s="57" t="s">
        <v>341</v>
      </c>
      <c r="D353" s="58" t="s">
        <v>366</v>
      </c>
      <c r="E353" s="61" t="s">
        <v>454</v>
      </c>
      <c r="F353" s="58">
        <v>1</v>
      </c>
      <c r="G353" s="58" t="s">
        <v>368</v>
      </c>
    </row>
    <row r="354" spans="1:7" x14ac:dyDescent="0.25">
      <c r="A354" s="57">
        <v>348</v>
      </c>
      <c r="B354" s="57" t="s">
        <v>392</v>
      </c>
      <c r="C354" s="57" t="s">
        <v>341</v>
      </c>
      <c r="D354" s="58" t="s">
        <v>366</v>
      </c>
      <c r="E354" s="61" t="s">
        <v>466</v>
      </c>
      <c r="F354" s="58">
        <v>1</v>
      </c>
      <c r="G354" s="58" t="s">
        <v>368</v>
      </c>
    </row>
    <row r="355" spans="1:7" x14ac:dyDescent="0.25">
      <c r="A355" s="57">
        <v>349</v>
      </c>
      <c r="B355" s="57" t="s">
        <v>394</v>
      </c>
      <c r="C355" s="57" t="s">
        <v>341</v>
      </c>
      <c r="D355" s="58" t="s">
        <v>366</v>
      </c>
      <c r="E355" s="61" t="s">
        <v>667</v>
      </c>
      <c r="F355" s="58">
        <v>1</v>
      </c>
      <c r="G355" s="58" t="s">
        <v>368</v>
      </c>
    </row>
    <row r="356" spans="1:7" x14ac:dyDescent="0.25">
      <c r="A356" s="57">
        <v>350</v>
      </c>
      <c r="B356" s="57" t="s">
        <v>456</v>
      </c>
      <c r="C356" s="57" t="s">
        <v>341</v>
      </c>
      <c r="D356" s="58" t="s">
        <v>366</v>
      </c>
      <c r="E356" s="61" t="s">
        <v>454</v>
      </c>
      <c r="F356" s="58">
        <v>1</v>
      </c>
      <c r="G356" s="58" t="s">
        <v>368</v>
      </c>
    </row>
    <row r="357" spans="1:7" x14ac:dyDescent="0.25">
      <c r="A357" s="57">
        <v>351</v>
      </c>
      <c r="B357" s="57" t="s">
        <v>457</v>
      </c>
      <c r="C357" s="57" t="s">
        <v>341</v>
      </c>
      <c r="D357" s="58" t="s">
        <v>366</v>
      </c>
      <c r="E357" s="61" t="s">
        <v>458</v>
      </c>
      <c r="F357" s="58">
        <v>1</v>
      </c>
      <c r="G357" s="58" t="s">
        <v>368</v>
      </c>
    </row>
  </sheetData>
  <sheetProtection formatCells="0" formatColumns="0" formatRows="0" insertColumns="0" insertRows="0" insertHyperlinks="0" deleteColumns="0" deleteRows="0" sort="0" autoFilter="0" pivotTables="0"/>
  <pageMargins left="0.59055118110236227" right="0.59055118110236227" top="0.78740157480314965" bottom="0.59055118110236227" header="0" footer="0"/>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Profil SMAN 1 SUMBER MARGA </vt:lpstr>
      <vt:lpstr>PTK</vt:lpstr>
      <vt:lpstr>Peserta Didik</vt:lpstr>
      <vt:lpstr>Rombongan Belajar</vt:lpstr>
      <vt:lpstr>Prasarana</vt:lpstr>
      <vt:lpstr>Sarana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Formulir Sekolah</dc:title>
  <dc:subject>Office 2007 XLSX Test Document</dc:subject>
  <dc:creator>Dapodik</dc:creator>
  <cp:keywords>Formulir Sekolah dapodik</cp:keywords>
  <dc:description>Formulir Sekolah</dc:description>
  <cp:lastModifiedBy>Samsul Bari, A.Md.</cp:lastModifiedBy>
  <dcterms:created xsi:type="dcterms:W3CDTF">2016-07-29T10:09:00Z</dcterms:created>
  <dcterms:modified xsi:type="dcterms:W3CDTF">2020-04-03T08:04:58Z</dcterms:modified>
  <cp:category>formulir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1033-10.1.0.5656</vt:lpwstr>
  </property>
</Properties>
</file>